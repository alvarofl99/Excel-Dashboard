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hidePivotFieldList="1" defaultThemeVersion="166925"/>
  <mc:AlternateContent xmlns:mc="http://schemas.openxmlformats.org/markup-compatibility/2006">
    <mc:Choice Requires="x15">
      <x15ac:absPath xmlns:x15ac="http://schemas.microsoft.com/office/spreadsheetml/2010/11/ac" url="/Users/alvar/Dropbox/Mac/Downloads/"/>
    </mc:Choice>
  </mc:AlternateContent>
  <xr:revisionPtr revIDLastSave="0" documentId="8_{64E53FFC-0710-774D-80AA-4A5612ACDB93}" xr6:coauthVersionLast="47" xr6:coauthVersionMax="47" xr10:uidLastSave="{00000000-0000-0000-0000-000000000000}"/>
  <bookViews>
    <workbookView xWindow="0" yWindow="740" windowWidth="34560" windowHeight="21600" xr2:uid="{00000000-000D-0000-FFFF-FFFF00000000}"/>
  </bookViews>
  <sheets>
    <sheet name="Dashboard" sheetId="23" r:id="rId1"/>
    <sheet name="Total Sales" sheetId="18" r:id="rId2"/>
    <sheet name="Country Bar Chart" sheetId="21" r:id="rId3"/>
    <sheet name="Top 5 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3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N260" i="17"/>
  <c r="N519" i="17"/>
  <c r="N658" i="17"/>
  <c r="M21" i="17"/>
  <c r="M52" i="17"/>
  <c r="M89" i="17"/>
  <c r="M121" i="17"/>
  <c r="M152" i="17"/>
  <c r="M189" i="17"/>
  <c r="M221" i="17"/>
  <c r="M459" i="17"/>
  <c r="M471" i="17"/>
  <c r="M493" i="17"/>
  <c r="M504" i="17"/>
  <c r="M514" i="17"/>
  <c r="M524" i="17"/>
  <c r="M534" i="17"/>
  <c r="M544" i="17"/>
  <c r="M554" i="17"/>
  <c r="M564" i="17"/>
  <c r="M574" i="17"/>
  <c r="M584" i="17"/>
  <c r="M594"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a="1"/>
  <c r="G3" i="17" s="1"/>
  <c r="G4" i="17" a="1"/>
  <c r="G4" i="17" s="1"/>
  <c r="G5" i="17" a="1"/>
  <c r="G5" i="17"/>
  <c r="G6" i="17" a="1"/>
  <c r="G6" i="17" s="1"/>
  <c r="G7" i="17" a="1"/>
  <c r="G7" i="17" s="1"/>
  <c r="G8" i="17" a="1"/>
  <c r="G8" i="17" s="1"/>
  <c r="G9" i="17" a="1"/>
  <c r="G9" i="17"/>
  <c r="G10" i="17" a="1"/>
  <c r="G10" i="17" s="1"/>
  <c r="G11" i="17" a="1"/>
  <c r="G11" i="17" s="1"/>
  <c r="G12" i="17" a="1"/>
  <c r="G12" i="17" s="1"/>
  <c r="G13" i="17" a="1"/>
  <c r="G13" i="17" s="1"/>
  <c r="G14" i="17" a="1"/>
  <c r="G14" i="17" s="1"/>
  <c r="G15" i="17" a="1"/>
  <c r="G15" i="17"/>
  <c r="G16" i="17" a="1"/>
  <c r="G16" i="17" s="1"/>
  <c r="G17" i="17" a="1"/>
  <c r="G17" i="17"/>
  <c r="G18" i="17" a="1"/>
  <c r="G18" i="17" s="1"/>
  <c r="G19" i="17" a="1"/>
  <c r="G19" i="17" s="1"/>
  <c r="G20" i="17" a="1"/>
  <c r="G20" i="17" s="1"/>
  <c r="G21" i="17" a="1"/>
  <c r="G21" i="17"/>
  <c r="G22" i="17" a="1"/>
  <c r="G22" i="17" s="1"/>
  <c r="G23" i="17" a="1"/>
  <c r="G23" i="17" s="1"/>
  <c r="G24" i="17" a="1"/>
  <c r="G24" i="17" s="1"/>
  <c r="G25" i="17" a="1"/>
  <c r="G25" i="17" s="1"/>
  <c r="G26" i="17" a="1"/>
  <c r="G26" i="17" s="1"/>
  <c r="G27" i="17" a="1"/>
  <c r="G27" i="17" s="1"/>
  <c r="G28" i="17" a="1"/>
  <c r="G28" i="17" s="1"/>
  <c r="G29" i="17" a="1"/>
  <c r="G29" i="17" s="1"/>
  <c r="G30" i="17" a="1"/>
  <c r="G30" i="17" s="1"/>
  <c r="G31" i="17" a="1"/>
  <c r="G31" i="17" s="1"/>
  <c r="G32" i="17" a="1"/>
  <c r="G32" i="17" s="1"/>
  <c r="G33" i="17" a="1"/>
  <c r="G33" i="17" s="1"/>
  <c r="G34" i="17" a="1"/>
  <c r="G34" i="17" s="1"/>
  <c r="G35" i="17" a="1"/>
  <c r="G35" i="17" s="1"/>
  <c r="G36" i="17" a="1"/>
  <c r="G36" i="17" s="1"/>
  <c r="G37" i="17" a="1"/>
  <c r="G37" i="17"/>
  <c r="G38" i="17" a="1"/>
  <c r="G38" i="17" s="1"/>
  <c r="G39" i="17" a="1"/>
  <c r="G39" i="17" s="1"/>
  <c r="G40" i="17" a="1"/>
  <c r="G40" i="17"/>
  <c r="G41" i="17" a="1"/>
  <c r="G41" i="17" s="1"/>
  <c r="G42" i="17" a="1"/>
  <c r="G42" i="17" s="1"/>
  <c r="G43" i="17" a="1"/>
  <c r="G43" i="17" s="1"/>
  <c r="G44" i="17" a="1"/>
  <c r="G44" i="17" s="1"/>
  <c r="G45" i="17" a="1"/>
  <c r="G45" i="17" s="1"/>
  <c r="G46" i="17" a="1"/>
  <c r="G46" i="17" s="1"/>
  <c r="G47" i="17" a="1"/>
  <c r="G47" i="17" s="1"/>
  <c r="G48" i="17" a="1"/>
  <c r="G48" i="17" s="1"/>
  <c r="G49" i="17" a="1"/>
  <c r="G49" i="17" s="1"/>
  <c r="G50" i="17" a="1"/>
  <c r="G50" i="17" s="1"/>
  <c r="G51" i="17" a="1"/>
  <c r="G51" i="17"/>
  <c r="G52" i="17" a="1"/>
  <c r="G52" i="17" s="1"/>
  <c r="G53" i="17" a="1"/>
  <c r="G53" i="17" s="1"/>
  <c r="G54" i="17" a="1"/>
  <c r="G54" i="17" s="1"/>
  <c r="G55" i="17" a="1"/>
  <c r="G55" i="17"/>
  <c r="G56" i="17" a="1"/>
  <c r="G56" i="17" s="1"/>
  <c r="G57" i="17" a="1"/>
  <c r="G57" i="17" s="1"/>
  <c r="G58" i="17" a="1"/>
  <c r="G58" i="17" s="1"/>
  <c r="G59" i="17" a="1"/>
  <c r="G59" i="17" s="1"/>
  <c r="G60" i="17" a="1"/>
  <c r="G60" i="17" s="1"/>
  <c r="G61" i="17" a="1"/>
  <c r="G61" i="17" s="1"/>
  <c r="G62" i="17" a="1"/>
  <c r="G62" i="17" s="1"/>
  <c r="G63" i="17" a="1"/>
  <c r="G63" i="17" s="1"/>
  <c r="G64" i="17" a="1"/>
  <c r="G64" i="17" s="1"/>
  <c r="G65" i="17" a="1"/>
  <c r="G65" i="17" s="1"/>
  <c r="G66" i="17" a="1"/>
  <c r="G66" i="17"/>
  <c r="G67" i="17" a="1"/>
  <c r="G67" i="17" s="1"/>
  <c r="G68" i="17" a="1"/>
  <c r="G68" i="17" s="1"/>
  <c r="G69" i="17" a="1"/>
  <c r="G69" i="17" s="1"/>
  <c r="G70" i="17" a="1"/>
  <c r="G70" i="17" s="1"/>
  <c r="G71" i="17" a="1"/>
  <c r="G71" i="17" s="1"/>
  <c r="G72" i="17" a="1"/>
  <c r="G72" i="17" s="1"/>
  <c r="G73" i="17" a="1"/>
  <c r="G73" i="17" s="1"/>
  <c r="G74" i="17" a="1"/>
  <c r="G74" i="17" s="1"/>
  <c r="G75" i="17" a="1"/>
  <c r="G75" i="17"/>
  <c r="G76" i="17" a="1"/>
  <c r="G76" i="17" s="1"/>
  <c r="G77" i="17" a="1"/>
  <c r="G77" i="17"/>
  <c r="G78" i="17" a="1"/>
  <c r="G78" i="17" s="1"/>
  <c r="G79" i="17" a="1"/>
  <c r="G79" i="17" s="1"/>
  <c r="G80" i="17" a="1"/>
  <c r="G80" i="17"/>
  <c r="G81" i="17" a="1"/>
  <c r="G81" i="17" s="1"/>
  <c r="G82" i="17" a="1"/>
  <c r="G82" i="17" s="1"/>
  <c r="G83" i="17" a="1"/>
  <c r="G83" i="17" s="1"/>
  <c r="G84" i="17" a="1"/>
  <c r="G84" i="17" s="1"/>
  <c r="G85" i="17" a="1"/>
  <c r="G85" i="17" s="1"/>
  <c r="G86" i="17" a="1"/>
  <c r="G86" i="17"/>
  <c r="G87" i="17" a="1"/>
  <c r="G87" i="17"/>
  <c r="G88" i="17" a="1"/>
  <c r="G88" i="17" s="1"/>
  <c r="G89" i="17" a="1"/>
  <c r="G89" i="17" s="1"/>
  <c r="G90" i="17" a="1"/>
  <c r="G90" i="17"/>
  <c r="G91" i="17" a="1"/>
  <c r="G91" i="17"/>
  <c r="G92" i="17" a="1"/>
  <c r="G92" i="17" s="1"/>
  <c r="G93" i="17" a="1"/>
  <c r="G93" i="17" s="1"/>
  <c r="G94" i="17" a="1"/>
  <c r="G94" i="17"/>
  <c r="G95" i="17" a="1"/>
  <c r="G95" i="17" s="1"/>
  <c r="G96" i="17" a="1"/>
  <c r="G96" i="17" s="1"/>
  <c r="G97" i="17" a="1"/>
  <c r="G97" i="17"/>
  <c r="G98" i="17" a="1"/>
  <c r="G98" i="17" s="1"/>
  <c r="G99" i="17" a="1"/>
  <c r="G99" i="17" s="1"/>
  <c r="G100" i="17" a="1"/>
  <c r="G100" i="17" s="1"/>
  <c r="G101" i="17" a="1"/>
  <c r="G101" i="17" s="1"/>
  <c r="G102" i="17" a="1"/>
  <c r="G102" i="17"/>
  <c r="G103" i="17" a="1"/>
  <c r="G103" i="17" s="1"/>
  <c r="G104" i="17" a="1"/>
  <c r="G104" i="17"/>
  <c r="G105" i="17" a="1"/>
  <c r="G105" i="17"/>
  <c r="G106" i="17" a="1"/>
  <c r="G106" i="17" s="1"/>
  <c r="G107" i="17" a="1"/>
  <c r="G107" i="17" s="1"/>
  <c r="G108" i="17" a="1"/>
  <c r="G108" i="17" s="1"/>
  <c r="G109" i="17" a="1"/>
  <c r="G109" i="17" s="1"/>
  <c r="G110" i="17" a="1"/>
  <c r="G110" i="17" s="1"/>
  <c r="G111" i="17" a="1"/>
  <c r="G111" i="17" s="1"/>
  <c r="G112" i="17" a="1"/>
  <c r="G112" i="17"/>
  <c r="G113" i="17" a="1"/>
  <c r="G113" i="17" s="1"/>
  <c r="G114" i="17" a="1"/>
  <c r="G114" i="17"/>
  <c r="G115" i="17" a="1"/>
  <c r="G115" i="17" s="1"/>
  <c r="G116" i="17" a="1"/>
  <c r="G116" i="17"/>
  <c r="G117" i="17" a="1"/>
  <c r="G117" i="17" s="1"/>
  <c r="G118" i="17" a="1"/>
  <c r="G118" i="17" s="1"/>
  <c r="G119" i="17" a="1"/>
  <c r="G119" i="17" s="1"/>
  <c r="G120" i="17" a="1"/>
  <c r="G120" i="17" s="1"/>
  <c r="G121" i="17" a="1"/>
  <c r="G121" i="17" s="1"/>
  <c r="G122" i="17" a="1"/>
  <c r="G122" i="17" s="1"/>
  <c r="G123" i="17" a="1"/>
  <c r="G123" i="17" s="1"/>
  <c r="G124" i="17" a="1"/>
  <c r="G124" i="17" s="1"/>
  <c r="G125" i="17" a="1"/>
  <c r="G125" i="17"/>
  <c r="G126" i="17" a="1"/>
  <c r="G126" i="17"/>
  <c r="G127" i="17" a="1"/>
  <c r="G127" i="17"/>
  <c r="G128" i="17" a="1"/>
  <c r="G128" i="17" s="1"/>
  <c r="G129" i="17" a="1"/>
  <c r="G129" i="17" s="1"/>
  <c r="G130" i="17" a="1"/>
  <c r="G130" i="17" s="1"/>
  <c r="G131" i="17" a="1"/>
  <c r="G131" i="17" s="1"/>
  <c r="G132" i="17" a="1"/>
  <c r="G132" i="17" s="1"/>
  <c r="G133" i="17" a="1"/>
  <c r="G133" i="17" s="1"/>
  <c r="G134" i="17" a="1"/>
  <c r="G134" i="17" s="1"/>
  <c r="G135" i="17" a="1"/>
  <c r="G135" i="17" s="1"/>
  <c r="G136" i="17" a="1"/>
  <c r="G136" i="17"/>
  <c r="G137" i="17" a="1"/>
  <c r="G137" i="17" s="1"/>
  <c r="G138" i="17" a="1"/>
  <c r="G138" i="17" s="1"/>
  <c r="G139" i="17" a="1"/>
  <c r="G139" i="17" s="1"/>
  <c r="G140" i="17" a="1"/>
  <c r="G140" i="17"/>
  <c r="G141" i="17" a="1"/>
  <c r="G141" i="17" s="1"/>
  <c r="G142" i="17" a="1"/>
  <c r="G142" i="17" s="1"/>
  <c r="G143" i="17" a="1"/>
  <c r="G143" i="17" s="1"/>
  <c r="G144" i="17" a="1"/>
  <c r="G144" i="17"/>
  <c r="G145" i="17" a="1"/>
  <c r="G145" i="17" s="1"/>
  <c r="G146" i="17" a="1"/>
  <c r="G146" i="17" s="1"/>
  <c r="G147" i="17" a="1"/>
  <c r="G147" i="17" s="1"/>
  <c r="G148" i="17" a="1"/>
  <c r="G148" i="17" s="1"/>
  <c r="G149" i="17" a="1"/>
  <c r="G149" i="17" s="1"/>
  <c r="G150" i="17" a="1"/>
  <c r="G150" i="17" s="1"/>
  <c r="G151" i="17" a="1"/>
  <c r="G151" i="17"/>
  <c r="G152" i="17" a="1"/>
  <c r="G152" i="17" s="1"/>
  <c r="G153" i="17" a="1"/>
  <c r="G153" i="17" s="1"/>
  <c r="G154" i="17" a="1"/>
  <c r="G154" i="17" s="1"/>
  <c r="G155" i="17" a="1"/>
  <c r="G155" i="17" s="1"/>
  <c r="G156" i="17" a="1"/>
  <c r="G156" i="17" s="1"/>
  <c r="G157" i="17" a="1"/>
  <c r="G157" i="17" s="1"/>
  <c r="G158" i="17" a="1"/>
  <c r="G158" i="17" s="1"/>
  <c r="G159" i="17" a="1"/>
  <c r="G159" i="17" s="1"/>
  <c r="G160" i="17" a="1"/>
  <c r="G160" i="17" s="1"/>
  <c r="G161" i="17" a="1"/>
  <c r="G161" i="17" s="1"/>
  <c r="G162" i="17" a="1"/>
  <c r="G162" i="17" s="1"/>
  <c r="G163" i="17" a="1"/>
  <c r="G163" i="17" s="1"/>
  <c r="G164" i="17" a="1"/>
  <c r="G164" i="17" s="1"/>
  <c r="G165" i="17" a="1"/>
  <c r="G165" i="17" s="1"/>
  <c r="G166" i="17" a="1"/>
  <c r="G166" i="17" s="1"/>
  <c r="G167" i="17" a="1"/>
  <c r="G167" i="17" s="1"/>
  <c r="G168" i="17" a="1"/>
  <c r="G168" i="17" s="1"/>
  <c r="G169" i="17" a="1"/>
  <c r="G169" i="17" s="1"/>
  <c r="G170" i="17" a="1"/>
  <c r="G170" i="17" s="1"/>
  <c r="G171" i="17" a="1"/>
  <c r="G171" i="17" s="1"/>
  <c r="G172" i="17" a="1"/>
  <c r="G172" i="17" s="1"/>
  <c r="G173" i="17" a="1"/>
  <c r="G173" i="17" s="1"/>
  <c r="G174" i="17" a="1"/>
  <c r="G174" i="17" s="1"/>
  <c r="G175" i="17" a="1"/>
  <c r="G175" i="17" s="1"/>
  <c r="G176" i="17" a="1"/>
  <c r="G176" i="17" s="1"/>
  <c r="G177" i="17" a="1"/>
  <c r="G177" i="17"/>
  <c r="G178" i="17" a="1"/>
  <c r="G178" i="17" s="1"/>
  <c r="G179" i="17" a="1"/>
  <c r="G179" i="17"/>
  <c r="G180" i="17" a="1"/>
  <c r="G180" i="17" s="1"/>
  <c r="G181" i="17" a="1"/>
  <c r="G181" i="17" s="1"/>
  <c r="G182" i="17" a="1"/>
  <c r="G182" i="17" s="1"/>
  <c r="G183" i="17" a="1"/>
  <c r="G183" i="17" s="1"/>
  <c r="G184" i="17" a="1"/>
  <c r="G184" i="17" s="1"/>
  <c r="G185" i="17" a="1"/>
  <c r="G185" i="17" s="1"/>
  <c r="G186" i="17" a="1"/>
  <c r="G186" i="17" s="1"/>
  <c r="G187" i="17" a="1"/>
  <c r="G187" i="17" s="1"/>
  <c r="G188" i="17" a="1"/>
  <c r="G188" i="17" s="1"/>
  <c r="G189" i="17" a="1"/>
  <c r="G189" i="17" s="1"/>
  <c r="G190" i="17" a="1"/>
  <c r="G190" i="17"/>
  <c r="G191" i="17" a="1"/>
  <c r="G191" i="17" s="1"/>
  <c r="G192" i="17" a="1"/>
  <c r="G192" i="17" s="1"/>
  <c r="G193" i="17" a="1"/>
  <c r="G193" i="17" s="1"/>
  <c r="G194" i="17" a="1"/>
  <c r="G194" i="17" s="1"/>
  <c r="G195" i="17" a="1"/>
  <c r="G195" i="17" s="1"/>
  <c r="G196" i="17" a="1"/>
  <c r="G196" i="17" s="1"/>
  <c r="G197" i="17" a="1"/>
  <c r="G197" i="17"/>
  <c r="G198" i="17" a="1"/>
  <c r="G198" i="17" s="1"/>
  <c r="G199" i="17" a="1"/>
  <c r="G199" i="17" s="1"/>
  <c r="G200" i="17" a="1"/>
  <c r="G200" i="17" s="1"/>
  <c r="G201" i="17" a="1"/>
  <c r="G201" i="17"/>
  <c r="G202" i="17" a="1"/>
  <c r="G202" i="17" s="1"/>
  <c r="G203" i="17" a="1"/>
  <c r="G203" i="17" s="1"/>
  <c r="G204" i="17" a="1"/>
  <c r="G204" i="17" s="1"/>
  <c r="G205" i="17" a="1"/>
  <c r="G205" i="17"/>
  <c r="G206" i="17" a="1"/>
  <c r="G206" i="17" s="1"/>
  <c r="G207" i="17" a="1"/>
  <c r="G207" i="17" s="1"/>
  <c r="G208" i="17" a="1"/>
  <c r="G208" i="17" s="1"/>
  <c r="G209" i="17" a="1"/>
  <c r="G209" i="17" s="1"/>
  <c r="G210" i="17" a="1"/>
  <c r="G210" i="17" s="1"/>
  <c r="G211" i="17" a="1"/>
  <c r="G211" i="17" s="1"/>
  <c r="G212" i="17" a="1"/>
  <c r="G212" i="17" s="1"/>
  <c r="G213" i="17" a="1"/>
  <c r="G213" i="17" s="1"/>
  <c r="G214" i="17" a="1"/>
  <c r="G214" i="17" s="1"/>
  <c r="G215" i="17" a="1"/>
  <c r="G215" i="17" s="1"/>
  <c r="G216" i="17" a="1"/>
  <c r="G216" i="17"/>
  <c r="G217" i="17" a="1"/>
  <c r="G217" i="17" s="1"/>
  <c r="G218" i="17" a="1"/>
  <c r="G218" i="17" s="1"/>
  <c r="G219" i="17" a="1"/>
  <c r="G219" i="17" s="1"/>
  <c r="G220" i="17" a="1"/>
  <c r="G220" i="17" s="1"/>
  <c r="G221" i="17" a="1"/>
  <c r="G221" i="17" s="1"/>
  <c r="G222" i="17" a="1"/>
  <c r="G222" i="17" s="1"/>
  <c r="G223" i="17" a="1"/>
  <c r="G223" i="17" s="1"/>
  <c r="G224" i="17" a="1"/>
  <c r="G224" i="17" s="1"/>
  <c r="G225" i="17" a="1"/>
  <c r="G225" i="17"/>
  <c r="G226" i="17" a="1"/>
  <c r="G226" i="17" s="1"/>
  <c r="G227" i="17" a="1"/>
  <c r="G227" i="17"/>
  <c r="G228" i="17" a="1"/>
  <c r="G228" i="17" s="1"/>
  <c r="G229" i="17" a="1"/>
  <c r="G229" i="17"/>
  <c r="G230" i="17" a="1"/>
  <c r="G230" i="17" s="1"/>
  <c r="G231" i="17" a="1"/>
  <c r="G231" i="17" s="1"/>
  <c r="G232" i="17" a="1"/>
  <c r="G232" i="17" s="1"/>
  <c r="G233" i="17" a="1"/>
  <c r="G233" i="17" s="1"/>
  <c r="G234" i="17" a="1"/>
  <c r="G234" i="17" s="1"/>
  <c r="G235" i="17" a="1"/>
  <c r="G235" i="17" s="1"/>
  <c r="G236" i="17" a="1"/>
  <c r="G236" i="17" s="1"/>
  <c r="G237" i="17" a="1"/>
  <c r="G237" i="17" s="1"/>
  <c r="G238" i="17" a="1"/>
  <c r="G238" i="17" s="1"/>
  <c r="G239" i="17" a="1"/>
  <c r="G239" i="17" s="1"/>
  <c r="G240" i="17" a="1"/>
  <c r="G240" i="17"/>
  <c r="G241" i="17" a="1"/>
  <c r="G241" i="17" s="1"/>
  <c r="G242" i="17" a="1"/>
  <c r="G242" i="17" s="1"/>
  <c r="G243" i="17" a="1"/>
  <c r="G243" i="17" s="1"/>
  <c r="G244" i="17" a="1"/>
  <c r="G244" i="17" s="1"/>
  <c r="G245" i="17" a="1"/>
  <c r="G245" i="17" s="1"/>
  <c r="G246" i="17" a="1"/>
  <c r="G246" i="17" s="1"/>
  <c r="G247" i="17" a="1"/>
  <c r="G247" i="17" s="1"/>
  <c r="G248" i="17" a="1"/>
  <c r="G248" i="17" s="1"/>
  <c r="G249" i="17" a="1"/>
  <c r="G249" i="17" s="1"/>
  <c r="G250" i="17" a="1"/>
  <c r="G250" i="17" s="1"/>
  <c r="G251" i="17" a="1"/>
  <c r="G251" i="17"/>
  <c r="G252" i="17" a="1"/>
  <c r="G252" i="17" s="1"/>
  <c r="G253" i="17" a="1"/>
  <c r="G253" i="17" s="1"/>
  <c r="G254" i="17" a="1"/>
  <c r="G254" i="17" s="1"/>
  <c r="G255" i="17" a="1"/>
  <c r="G255" i="17" s="1"/>
  <c r="G256" i="17" a="1"/>
  <c r="G256" i="17" s="1"/>
  <c r="G257" i="17" a="1"/>
  <c r="G257" i="17" s="1"/>
  <c r="G258" i="17" a="1"/>
  <c r="G258" i="17" s="1"/>
  <c r="G259" i="17" a="1"/>
  <c r="G259" i="17" s="1"/>
  <c r="G260" i="17" a="1"/>
  <c r="G260" i="17" s="1"/>
  <c r="G261" i="17" a="1"/>
  <c r="G261" i="17" s="1"/>
  <c r="G262" i="17" a="1"/>
  <c r="G262" i="17" s="1"/>
  <c r="G263" i="17" a="1"/>
  <c r="G263" i="17" s="1"/>
  <c r="G264" i="17" a="1"/>
  <c r="G264" i="17"/>
  <c r="G265" i="17" a="1"/>
  <c r="G265" i="17" s="1"/>
  <c r="G266" i="17" a="1"/>
  <c r="G266" i="17"/>
  <c r="G267" i="17" a="1"/>
  <c r="G267" i="17" s="1"/>
  <c r="G268" i="17" a="1"/>
  <c r="G268" i="17" s="1"/>
  <c r="G269" i="17" a="1"/>
  <c r="G269" i="17" s="1"/>
  <c r="G270" i="17" a="1"/>
  <c r="G270" i="17" s="1"/>
  <c r="G271" i="17" a="1"/>
  <c r="G271" i="17" s="1"/>
  <c r="G272" i="17" a="1"/>
  <c r="G272" i="17" s="1"/>
  <c r="G273" i="17" a="1"/>
  <c r="G273" i="17" s="1"/>
  <c r="G274" i="17" a="1"/>
  <c r="G274" i="17" s="1"/>
  <c r="G275" i="17" a="1"/>
  <c r="G275" i="17"/>
  <c r="G276" i="17" a="1"/>
  <c r="G276" i="17"/>
  <c r="G277" i="17" a="1"/>
  <c r="G277" i="17"/>
  <c r="G278" i="17" a="1"/>
  <c r="G278" i="17" s="1"/>
  <c r="G279" i="17" a="1"/>
  <c r="G279" i="17"/>
  <c r="G280" i="17" a="1"/>
  <c r="G280" i="17" s="1"/>
  <c r="G281" i="17" a="1"/>
  <c r="G281" i="17" s="1"/>
  <c r="G282" i="17" a="1"/>
  <c r="G282" i="17" s="1"/>
  <c r="G283" i="17" a="1"/>
  <c r="G283" i="17" s="1"/>
  <c r="G284" i="17" a="1"/>
  <c r="G284" i="17" s="1"/>
  <c r="G285" i="17" a="1"/>
  <c r="G285" i="17" s="1"/>
  <c r="G286" i="17" a="1"/>
  <c r="G286" i="17" s="1"/>
  <c r="G287" i="17" a="1"/>
  <c r="G287" i="17" s="1"/>
  <c r="G288" i="17" a="1"/>
  <c r="G288" i="17" s="1"/>
  <c r="G289" i="17" a="1"/>
  <c r="G289" i="17" s="1"/>
  <c r="G290" i="17" a="1"/>
  <c r="G290" i="17"/>
  <c r="G291" i="17" a="1"/>
  <c r="G291" i="17" s="1"/>
  <c r="G292" i="17" a="1"/>
  <c r="G292" i="17" s="1"/>
  <c r="G293" i="17" a="1"/>
  <c r="G293" i="17" s="1"/>
  <c r="G294" i="17" a="1"/>
  <c r="G294" i="17"/>
  <c r="G295" i="17" a="1"/>
  <c r="G295" i="17" s="1"/>
  <c r="G296" i="17" a="1"/>
  <c r="G296" i="17" s="1"/>
  <c r="G297" i="17" a="1"/>
  <c r="G297" i="17"/>
  <c r="G298" i="17" a="1"/>
  <c r="G298" i="17" s="1"/>
  <c r="G299" i="17" a="1"/>
  <c r="G299" i="17" s="1"/>
  <c r="G300" i="17" a="1"/>
  <c r="G300" i="17" s="1"/>
  <c r="G301" i="17" a="1"/>
  <c r="G301" i="17" s="1"/>
  <c r="G302" i="17" a="1"/>
  <c r="G302" i="17" s="1"/>
  <c r="G303" i="17" a="1"/>
  <c r="G303" i="17" s="1"/>
  <c r="G304" i="17" a="1"/>
  <c r="G304" i="17" s="1"/>
  <c r="G305" i="17" a="1"/>
  <c r="G305" i="17"/>
  <c r="G306" i="17" a="1"/>
  <c r="G306" i="17" s="1"/>
  <c r="G307" i="17" a="1"/>
  <c r="G307" i="17" s="1"/>
  <c r="G308" i="17" a="1"/>
  <c r="G308" i="17" s="1"/>
  <c r="G309" i="17" a="1"/>
  <c r="G309" i="17" s="1"/>
  <c r="G310" i="17" a="1"/>
  <c r="G310" i="17" s="1"/>
  <c r="G311" i="17" a="1"/>
  <c r="G311" i="17" s="1"/>
  <c r="G312" i="17" a="1"/>
  <c r="G312" i="17" s="1"/>
  <c r="G313" i="17" a="1"/>
  <c r="G313" i="17" s="1"/>
  <c r="G314" i="17" a="1"/>
  <c r="G314" i="17"/>
  <c r="G315" i="17" a="1"/>
  <c r="G315" i="17" s="1"/>
  <c r="G316" i="17" a="1"/>
  <c r="G316" i="17" s="1"/>
  <c r="G317" i="17" a="1"/>
  <c r="G317" i="17" s="1"/>
  <c r="G318" i="17" a="1"/>
  <c r="G318" i="17" s="1"/>
  <c r="G319" i="17" a="1"/>
  <c r="G319" i="17" s="1"/>
  <c r="G320" i="17" a="1"/>
  <c r="G320" i="17" s="1"/>
  <c r="G321" i="17" a="1"/>
  <c r="G321" i="17" s="1"/>
  <c r="G322" i="17" a="1"/>
  <c r="G322" i="17" s="1"/>
  <c r="G323" i="17" a="1"/>
  <c r="G323" i="17" s="1"/>
  <c r="G324" i="17" a="1"/>
  <c r="G324" i="17" s="1"/>
  <c r="G325" i="17" a="1"/>
  <c r="G325" i="17" s="1"/>
  <c r="G326" i="17" a="1"/>
  <c r="G326" i="17" s="1"/>
  <c r="G327" i="17" a="1"/>
  <c r="G327" i="17"/>
  <c r="G328" i="17" a="1"/>
  <c r="G328" i="17" s="1"/>
  <c r="G329" i="17" a="1"/>
  <c r="G329" i="17" s="1"/>
  <c r="G330" i="17" a="1"/>
  <c r="G330" i="17" s="1"/>
  <c r="G331" i="17" a="1"/>
  <c r="G331" i="17" s="1"/>
  <c r="G332" i="17" a="1"/>
  <c r="G332" i="17" s="1"/>
  <c r="G333" i="17" a="1"/>
  <c r="G333" i="17" s="1"/>
  <c r="G334" i="17" a="1"/>
  <c r="G334" i="17" s="1"/>
  <c r="G335" i="17" a="1"/>
  <c r="G335" i="17" s="1"/>
  <c r="G336" i="17" a="1"/>
  <c r="G336" i="17" s="1"/>
  <c r="G337" i="17" a="1"/>
  <c r="G337" i="17" s="1"/>
  <c r="G338" i="17" a="1"/>
  <c r="G338" i="17" s="1"/>
  <c r="G339" i="17" a="1"/>
  <c r="G339" i="17" s="1"/>
  <c r="G340" i="17" a="1"/>
  <c r="G340" i="17" s="1"/>
  <c r="G341" i="17" a="1"/>
  <c r="G341" i="17" s="1"/>
  <c r="G342" i="17" a="1"/>
  <c r="G342" i="17" s="1"/>
  <c r="G343" i="17" a="1"/>
  <c r="G343" i="17" s="1"/>
  <c r="G344" i="17" a="1"/>
  <c r="G344" i="17" s="1"/>
  <c r="G345" i="17" a="1"/>
  <c r="G345" i="17" s="1"/>
  <c r="G346" i="17" a="1"/>
  <c r="G346" i="17" s="1"/>
  <c r="G347" i="17" a="1"/>
  <c r="G347" i="17"/>
  <c r="G348" i="17" a="1"/>
  <c r="G348" i="17" s="1"/>
  <c r="G349" i="17" a="1"/>
  <c r="G349" i="17" s="1"/>
  <c r="G350" i="17" a="1"/>
  <c r="G350" i="17"/>
  <c r="G351" i="17" a="1"/>
  <c r="G351" i="17" s="1"/>
  <c r="G352" i="17" a="1"/>
  <c r="G352" i="17" s="1"/>
  <c r="G353" i="17" a="1"/>
  <c r="G353" i="17" s="1"/>
  <c r="G354" i="17" a="1"/>
  <c r="G354" i="17" s="1"/>
  <c r="G355" i="17" a="1"/>
  <c r="G355" i="17" s="1"/>
  <c r="G356" i="17" a="1"/>
  <c r="G356" i="17" s="1"/>
  <c r="G357" i="17" a="1"/>
  <c r="G357" i="17" s="1"/>
  <c r="G358" i="17" a="1"/>
  <c r="G358" i="17" s="1"/>
  <c r="G359" i="17" a="1"/>
  <c r="G359" i="17" s="1"/>
  <c r="G360" i="17" a="1"/>
  <c r="G360" i="17" s="1"/>
  <c r="G361" i="17" a="1"/>
  <c r="G361" i="17" s="1"/>
  <c r="G362" i="17" a="1"/>
  <c r="G362" i="17"/>
  <c r="G363" i="17" a="1"/>
  <c r="G363" i="17" s="1"/>
  <c r="G364" i="17" a="1"/>
  <c r="G364" i="17" s="1"/>
  <c r="G365" i="17" a="1"/>
  <c r="G365" i="17" s="1"/>
  <c r="G366" i="17" a="1"/>
  <c r="G366" i="17"/>
  <c r="G367" i="17" a="1"/>
  <c r="G367" i="17" s="1"/>
  <c r="G368" i="17" a="1"/>
  <c r="G368" i="17" s="1"/>
  <c r="G369" i="17" a="1"/>
  <c r="G369" i="17" s="1"/>
  <c r="G370" i="17" a="1"/>
  <c r="G370" i="17" s="1"/>
  <c r="G371" i="17" a="1"/>
  <c r="G371" i="17" s="1"/>
  <c r="G372" i="17" a="1"/>
  <c r="G372" i="17" s="1"/>
  <c r="G373" i="17" a="1"/>
  <c r="G373" i="17" s="1"/>
  <c r="G374" i="17" a="1"/>
  <c r="G374" i="17" s="1"/>
  <c r="G375" i="17" a="1"/>
  <c r="G375" i="17"/>
  <c r="G376" i="17" a="1"/>
  <c r="G376" i="17" s="1"/>
  <c r="G377" i="17" a="1"/>
  <c r="G377" i="17" s="1"/>
  <c r="G378" i="17" a="1"/>
  <c r="G378" i="17" s="1"/>
  <c r="G379" i="17" a="1"/>
  <c r="G379" i="17" s="1"/>
  <c r="G380" i="17" a="1"/>
  <c r="G380" i="17" s="1"/>
  <c r="G381" i="17" a="1"/>
  <c r="G381" i="17" s="1"/>
  <c r="G382" i="17" a="1"/>
  <c r="G382" i="17" s="1"/>
  <c r="G383" i="17" a="1"/>
  <c r="G383" i="17" s="1"/>
  <c r="G384" i="17" a="1"/>
  <c r="G384" i="17" s="1"/>
  <c r="G385" i="17" a="1"/>
  <c r="G385" i="17" s="1"/>
  <c r="G386" i="17" a="1"/>
  <c r="G386" i="17"/>
  <c r="G387" i="17" a="1"/>
  <c r="G387" i="17" s="1"/>
  <c r="G388" i="17" a="1"/>
  <c r="G388" i="17" s="1"/>
  <c r="G389" i="17" a="1"/>
  <c r="G389" i="17"/>
  <c r="G390" i="17" a="1"/>
  <c r="G390" i="17"/>
  <c r="G391" i="17" a="1"/>
  <c r="G391" i="17" s="1"/>
  <c r="G392" i="17" a="1"/>
  <c r="G392" i="17" s="1"/>
  <c r="G393" i="17" a="1"/>
  <c r="G393" i="17" s="1"/>
  <c r="G394" i="17" a="1"/>
  <c r="G394" i="17"/>
  <c r="G395" i="17" a="1"/>
  <c r="G395" i="17" s="1"/>
  <c r="G396" i="17" a="1"/>
  <c r="G396" i="17" s="1"/>
  <c r="G397" i="17" a="1"/>
  <c r="G397" i="17"/>
  <c r="G398" i="17" a="1"/>
  <c r="G398" i="17" s="1"/>
  <c r="G399" i="17" a="1"/>
  <c r="G399" i="17" s="1"/>
  <c r="G400" i="17" a="1"/>
  <c r="G400" i="17" s="1"/>
  <c r="G401" i="17" a="1"/>
  <c r="G401" i="17"/>
  <c r="G402" i="17" a="1"/>
  <c r="G402" i="17" s="1"/>
  <c r="G403" i="17" a="1"/>
  <c r="G403" i="17" s="1"/>
  <c r="G404" i="17" a="1"/>
  <c r="G404" i="17"/>
  <c r="G405" i="17" a="1"/>
  <c r="G405" i="17"/>
  <c r="G406" i="17" a="1"/>
  <c r="G406" i="17" s="1"/>
  <c r="G407" i="17" a="1"/>
  <c r="G407" i="17" s="1"/>
  <c r="G408" i="17" a="1"/>
  <c r="G408" i="17" s="1"/>
  <c r="G409" i="17" a="1"/>
  <c r="G409" i="17" s="1"/>
  <c r="G410" i="17" a="1"/>
  <c r="G410" i="17" s="1"/>
  <c r="G411" i="17" a="1"/>
  <c r="G411" i="17" s="1"/>
  <c r="G412" i="17" a="1"/>
  <c r="G412" i="17"/>
  <c r="G413" i="17" a="1"/>
  <c r="G413" i="17" s="1"/>
  <c r="G414" i="17" a="1"/>
  <c r="G414" i="17" s="1"/>
  <c r="G415" i="17" a="1"/>
  <c r="G415" i="17" s="1"/>
  <c r="G416" i="17" a="1"/>
  <c r="G416" i="17"/>
  <c r="G417" i="17" a="1"/>
  <c r="G417" i="17" s="1"/>
  <c r="G418" i="17" a="1"/>
  <c r="G418" i="17" s="1"/>
  <c r="G419" i="17" a="1"/>
  <c r="G419" i="17" s="1"/>
  <c r="G420" i="17" a="1"/>
  <c r="G420" i="17" s="1"/>
  <c r="G421" i="17" a="1"/>
  <c r="G421" i="17" s="1"/>
  <c r="G422" i="17" a="1"/>
  <c r="G422" i="17" s="1"/>
  <c r="G423" i="17" a="1"/>
  <c r="G423" i="17" s="1"/>
  <c r="G424" i="17" a="1"/>
  <c r="G424" i="17" s="1"/>
  <c r="G425" i="17" a="1"/>
  <c r="G425" i="17"/>
  <c r="G426" i="17" a="1"/>
  <c r="G426" i="17" s="1"/>
  <c r="G427" i="17" a="1"/>
  <c r="G427" i="17" s="1"/>
  <c r="G428" i="17" a="1"/>
  <c r="G428" i="17" s="1"/>
  <c r="G429" i="17" a="1"/>
  <c r="G429" i="17"/>
  <c r="G430" i="17" a="1"/>
  <c r="G430" i="17"/>
  <c r="G431" i="17" a="1"/>
  <c r="G431" i="17"/>
  <c r="G432" i="17" a="1"/>
  <c r="G432" i="17" s="1"/>
  <c r="G433" i="17" a="1"/>
  <c r="G433" i="17" s="1"/>
  <c r="G434" i="17" a="1"/>
  <c r="G434" i="17"/>
  <c r="G435" i="17" a="1"/>
  <c r="G435" i="17" s="1"/>
  <c r="G436" i="17" a="1"/>
  <c r="G436" i="17"/>
  <c r="G437" i="17" a="1"/>
  <c r="G437" i="17"/>
  <c r="G438" i="17" a="1"/>
  <c r="G438" i="17" s="1"/>
  <c r="G439" i="17" a="1"/>
  <c r="G439" i="17" s="1"/>
  <c r="G440" i="17" a="1"/>
  <c r="G440" i="17" s="1"/>
  <c r="G441" i="17" a="1"/>
  <c r="G441" i="17" s="1"/>
  <c r="G442" i="17" a="1"/>
  <c r="G442" i="17" s="1"/>
  <c r="G443" i="17" a="1"/>
  <c r="G443" i="17" s="1"/>
  <c r="G444" i="17" a="1"/>
  <c r="G444" i="17"/>
  <c r="G445" i="17" a="1"/>
  <c r="G445" i="17" s="1"/>
  <c r="G446" i="17" a="1"/>
  <c r="G446" i="17" s="1"/>
  <c r="G447" i="17" a="1"/>
  <c r="G447" i="17"/>
  <c r="G448" i="17" a="1"/>
  <c r="G448" i="17" s="1"/>
  <c r="G449" i="17" a="1"/>
  <c r="G449" i="17"/>
  <c r="G450" i="17" a="1"/>
  <c r="G450" i="17" s="1"/>
  <c r="G451" i="17" a="1"/>
  <c r="G451" i="17"/>
  <c r="G452" i="17" a="1"/>
  <c r="G452" i="17" s="1"/>
  <c r="G453" i="17" a="1"/>
  <c r="G453" i="17" s="1"/>
  <c r="G454" i="17" a="1"/>
  <c r="G454" i="17" s="1"/>
  <c r="G455" i="17" a="1"/>
  <c r="G455" i="17"/>
  <c r="G456" i="17" a="1"/>
  <c r="G456" i="17"/>
  <c r="G457" i="17" a="1"/>
  <c r="G457" i="17" s="1"/>
  <c r="G458" i="17" a="1"/>
  <c r="G458" i="17" s="1"/>
  <c r="G459" i="17" a="1"/>
  <c r="G459" i="17" s="1"/>
  <c r="G460" i="17" a="1"/>
  <c r="G460" i="17" s="1"/>
  <c r="G461" i="17" a="1"/>
  <c r="G461" i="17" s="1"/>
  <c r="G462" i="17" a="1"/>
  <c r="G462" i="17"/>
  <c r="G463" i="17" a="1"/>
  <c r="G463" i="17" s="1"/>
  <c r="G464" i="17" a="1"/>
  <c r="G464" i="17" s="1"/>
  <c r="G465" i="17" a="1"/>
  <c r="G465" i="17" s="1"/>
  <c r="G466" i="17" a="1"/>
  <c r="G466" i="17" s="1"/>
  <c r="G467" i="17" a="1"/>
  <c r="G467" i="17" s="1"/>
  <c r="G468" i="17" a="1"/>
  <c r="G468" i="17" s="1"/>
  <c r="G469" i="17" a="1"/>
  <c r="G469" i="17" s="1"/>
  <c r="G470" i="17" a="1"/>
  <c r="G470" i="17" s="1"/>
  <c r="G471" i="17" a="1"/>
  <c r="G471" i="17" s="1"/>
  <c r="G472" i="17" a="1"/>
  <c r="G472" i="17" s="1"/>
  <c r="G473" i="17" a="1"/>
  <c r="G473" i="17" s="1"/>
  <c r="G474" i="17" a="1"/>
  <c r="G474" i="17" s="1"/>
  <c r="G475" i="17" a="1"/>
  <c r="G475" i="17" s="1"/>
  <c r="G476" i="17" a="1"/>
  <c r="G476" i="17" s="1"/>
  <c r="G477" i="17" a="1"/>
  <c r="G477" i="17" s="1"/>
  <c r="G478" i="17" a="1"/>
  <c r="G478" i="17" s="1"/>
  <c r="G479" i="17" a="1"/>
  <c r="G479" i="17"/>
  <c r="G480" i="17" a="1"/>
  <c r="G480" i="17" s="1"/>
  <c r="G481" i="17" a="1"/>
  <c r="G481" i="17" s="1"/>
  <c r="G482" i="17" a="1"/>
  <c r="G482" i="17" s="1"/>
  <c r="G483" i="17" a="1"/>
  <c r="G483" i="17" s="1"/>
  <c r="G484" i="17" a="1"/>
  <c r="G484" i="17" s="1"/>
  <c r="G485" i="17" a="1"/>
  <c r="G485" i="17" s="1"/>
  <c r="G486" i="17" a="1"/>
  <c r="G486" i="17"/>
  <c r="G487" i="17" a="1"/>
  <c r="G487" i="17" s="1"/>
  <c r="G488" i="17" a="1"/>
  <c r="G488" i="17" s="1"/>
  <c r="G489" i="17" a="1"/>
  <c r="G489" i="17" s="1"/>
  <c r="G490" i="17" a="1"/>
  <c r="G490" i="17"/>
  <c r="G491" i="17" a="1"/>
  <c r="G491" i="17" s="1"/>
  <c r="G492" i="17" a="1"/>
  <c r="G492" i="17" s="1"/>
  <c r="G493" i="17" a="1"/>
  <c r="G493" i="17" s="1"/>
  <c r="G494" i="17" a="1"/>
  <c r="G494" i="17"/>
  <c r="G495" i="17" a="1"/>
  <c r="G495" i="17" s="1"/>
  <c r="G496" i="17" a="1"/>
  <c r="G496" i="17" s="1"/>
  <c r="G497" i="17" a="1"/>
  <c r="G497" i="17" s="1"/>
  <c r="G498" i="17" a="1"/>
  <c r="G498" i="17" s="1"/>
  <c r="G499" i="17" a="1"/>
  <c r="G499" i="17" s="1"/>
  <c r="G500" i="17" a="1"/>
  <c r="G500" i="17" s="1"/>
  <c r="G501" i="17" a="1"/>
  <c r="G501" i="17" s="1"/>
  <c r="G502" i="17" a="1"/>
  <c r="G502" i="17" s="1"/>
  <c r="G503" i="17" a="1"/>
  <c r="G503" i="17" s="1"/>
  <c r="G504" i="17" a="1"/>
  <c r="G504" i="17" s="1"/>
  <c r="G505" i="17" a="1"/>
  <c r="G505" i="17" s="1"/>
  <c r="G506" i="17" a="1"/>
  <c r="G506" i="17"/>
  <c r="G507" i="17" a="1"/>
  <c r="G507" i="17" s="1"/>
  <c r="G508" i="17" a="1"/>
  <c r="G508" i="17" s="1"/>
  <c r="G509" i="17" a="1"/>
  <c r="G509" i="17" s="1"/>
  <c r="G510" i="17" a="1"/>
  <c r="G510" i="17"/>
  <c r="G511" i="17" a="1"/>
  <c r="G511" i="17" s="1"/>
  <c r="G512" i="17" a="1"/>
  <c r="G512" i="17" s="1"/>
  <c r="G513" i="17" a="1"/>
  <c r="G513" i="17" s="1"/>
  <c r="G514" i="17" a="1"/>
  <c r="G514" i="17" s="1"/>
  <c r="G515" i="17" a="1"/>
  <c r="G515" i="17" s="1"/>
  <c r="G516" i="17" a="1"/>
  <c r="G516" i="17"/>
  <c r="G517" i="17" a="1"/>
  <c r="G517" i="17" s="1"/>
  <c r="G518" i="17" a="1"/>
  <c r="G518" i="17" s="1"/>
  <c r="G519" i="17" a="1"/>
  <c r="G519" i="17" s="1"/>
  <c r="G520" i="17" a="1"/>
  <c r="G520" i="17" s="1"/>
  <c r="G521" i="17" a="1"/>
  <c r="G521" i="17" s="1"/>
  <c r="G522" i="17" a="1"/>
  <c r="G522" i="17" s="1"/>
  <c r="G523" i="17" a="1"/>
  <c r="G523" i="17" s="1"/>
  <c r="G524" i="17" a="1"/>
  <c r="G524" i="17" s="1"/>
  <c r="G525" i="17" a="1"/>
  <c r="G525" i="17"/>
  <c r="G526" i="17" a="1"/>
  <c r="G526" i="17" s="1"/>
  <c r="G527" i="17" a="1"/>
  <c r="G527" i="17" s="1"/>
  <c r="G528" i="17" a="1"/>
  <c r="G528" i="17" s="1"/>
  <c r="G529" i="17" a="1"/>
  <c r="G529" i="17"/>
  <c r="G530" i="17" a="1"/>
  <c r="G530" i="17" s="1"/>
  <c r="G531" i="17" a="1"/>
  <c r="G531" i="17" s="1"/>
  <c r="G532" i="17" a="1"/>
  <c r="G532" i="17" s="1"/>
  <c r="G533" i="17" a="1"/>
  <c r="G533" i="17" s="1"/>
  <c r="G534" i="17" a="1"/>
  <c r="G534" i="17" s="1"/>
  <c r="G535" i="17" a="1"/>
  <c r="G535" i="17" s="1"/>
  <c r="G536" i="17" a="1"/>
  <c r="G536" i="17" s="1"/>
  <c r="G537" i="17" a="1"/>
  <c r="G537" i="17" s="1"/>
  <c r="G538" i="17" a="1"/>
  <c r="G538" i="17" s="1"/>
  <c r="G539" i="17" a="1"/>
  <c r="G539" i="17" s="1"/>
  <c r="G540" i="17" a="1"/>
  <c r="G540" i="17" s="1"/>
  <c r="G541" i="17" a="1"/>
  <c r="G541" i="17" s="1"/>
  <c r="G542" i="17" a="1"/>
  <c r="G542" i="17" s="1"/>
  <c r="G543" i="17" a="1"/>
  <c r="G543" i="17" s="1"/>
  <c r="G544" i="17" a="1"/>
  <c r="G544" i="17" s="1"/>
  <c r="G545" i="17" a="1"/>
  <c r="G545" i="17" s="1"/>
  <c r="G546" i="17" a="1"/>
  <c r="G546" i="17" s="1"/>
  <c r="G547" i="17" a="1"/>
  <c r="G547" i="17"/>
  <c r="G548" i="17" a="1"/>
  <c r="G548" i="17" s="1"/>
  <c r="G549" i="17" a="1"/>
  <c r="G549" i="17"/>
  <c r="G550" i="17" a="1"/>
  <c r="G550" i="17" s="1"/>
  <c r="G551" i="17" a="1"/>
  <c r="G551" i="17" s="1"/>
  <c r="G552" i="17" a="1"/>
  <c r="G552" i="17" s="1"/>
  <c r="G553" i="17" a="1"/>
  <c r="G553" i="17" s="1"/>
  <c r="G554" i="17" a="1"/>
  <c r="G554" i="17" s="1"/>
  <c r="G555" i="17" a="1"/>
  <c r="G555" i="17" s="1"/>
  <c r="G556" i="17" a="1"/>
  <c r="G556" i="17"/>
  <c r="G557" i="17" a="1"/>
  <c r="G557" i="17" s="1"/>
  <c r="G558" i="17" a="1"/>
  <c r="G558" i="17" s="1"/>
  <c r="G559" i="17" a="1"/>
  <c r="G559" i="17" s="1"/>
  <c r="G560" i="17" a="1"/>
  <c r="G560" i="17" s="1"/>
  <c r="G561" i="17" a="1"/>
  <c r="G561" i="17" s="1"/>
  <c r="G562" i="17" a="1"/>
  <c r="G562" i="17"/>
  <c r="G563" i="17" a="1"/>
  <c r="G563" i="17" s="1"/>
  <c r="G564" i="17" a="1"/>
  <c r="G564" i="17"/>
  <c r="G565" i="17" a="1"/>
  <c r="G565" i="17" s="1"/>
  <c r="G566" i="17" a="1"/>
  <c r="G566" i="17"/>
  <c r="G567" i="17" a="1"/>
  <c r="G567" i="17" s="1"/>
  <c r="G568" i="17" a="1"/>
  <c r="G568" i="17" s="1"/>
  <c r="G569" i="17" a="1"/>
  <c r="G569" i="17" s="1"/>
  <c r="G570" i="17" a="1"/>
  <c r="G570" i="17" s="1"/>
  <c r="G571" i="17" a="1"/>
  <c r="G571" i="17" s="1"/>
  <c r="G572" i="17" a="1"/>
  <c r="G572" i="17" s="1"/>
  <c r="G573" i="17" a="1"/>
  <c r="G573" i="17" s="1"/>
  <c r="G574" i="17" a="1"/>
  <c r="G574" i="17" s="1"/>
  <c r="G575" i="17" a="1"/>
  <c r="G575" i="17"/>
  <c r="G576" i="17" a="1"/>
  <c r="G576" i="17" s="1"/>
  <c r="G577" i="17" a="1"/>
  <c r="G577" i="17" s="1"/>
  <c r="G578" i="17" a="1"/>
  <c r="G578" i="17" s="1"/>
  <c r="G579" i="17" a="1"/>
  <c r="G579" i="17" s="1"/>
  <c r="G580" i="17" a="1"/>
  <c r="G580" i="17" s="1"/>
  <c r="G581" i="17" a="1"/>
  <c r="G581" i="17" s="1"/>
  <c r="G582" i="17" a="1"/>
  <c r="G582" i="17" s="1"/>
  <c r="G583" i="17" a="1"/>
  <c r="G583" i="17" s="1"/>
  <c r="G584" i="17" a="1"/>
  <c r="G584" i="17" s="1"/>
  <c r="G585" i="17" a="1"/>
  <c r="G585" i="17" s="1"/>
  <c r="G586" i="17" a="1"/>
  <c r="G586" i="17"/>
  <c r="G587" i="17" a="1"/>
  <c r="G587" i="17" s="1"/>
  <c r="G588" i="17" a="1"/>
  <c r="G588" i="17" s="1"/>
  <c r="G589" i="17" a="1"/>
  <c r="G589" i="17" s="1"/>
  <c r="G590" i="17" a="1"/>
  <c r="G590" i="17"/>
  <c r="G591" i="17" a="1"/>
  <c r="G591" i="17" s="1"/>
  <c r="G592" i="17" a="1"/>
  <c r="G592" i="17" s="1"/>
  <c r="G593" i="17" a="1"/>
  <c r="G593" i="17" s="1"/>
  <c r="G594" i="17" a="1"/>
  <c r="G594" i="17"/>
  <c r="G595" i="17" a="1"/>
  <c r="G595" i="17" s="1"/>
  <c r="G596" i="17" a="1"/>
  <c r="G596" i="17" s="1"/>
  <c r="G597" i="17" a="1"/>
  <c r="G597" i="17"/>
  <c r="G598" i="17" a="1"/>
  <c r="G598" i="17" s="1"/>
  <c r="G599" i="17" a="1"/>
  <c r="G599" i="17" s="1"/>
  <c r="G600" i="17" a="1"/>
  <c r="G600" i="17" s="1"/>
  <c r="G601" i="17" a="1"/>
  <c r="G601" i="17"/>
  <c r="G602" i="17" a="1"/>
  <c r="G602" i="17" s="1"/>
  <c r="G603" i="17" a="1"/>
  <c r="G603" i="17" s="1"/>
  <c r="G604" i="17" a="1"/>
  <c r="G604" i="17" s="1"/>
  <c r="G605" i="17" a="1"/>
  <c r="G605" i="17"/>
  <c r="G606" i="17" a="1"/>
  <c r="G606" i="17" s="1"/>
  <c r="G607" i="17" a="1"/>
  <c r="G607" i="17" s="1"/>
  <c r="G608" i="17" a="1"/>
  <c r="G608" i="17" s="1"/>
  <c r="G609" i="17" a="1"/>
  <c r="G609" i="17" s="1"/>
  <c r="G610" i="17" a="1"/>
  <c r="G610" i="17" s="1"/>
  <c r="G611" i="17" a="1"/>
  <c r="G611" i="17" s="1"/>
  <c r="G612" i="17" a="1"/>
  <c r="G612" i="17" s="1"/>
  <c r="G613" i="17" a="1"/>
  <c r="G613" i="17" s="1"/>
  <c r="G614" i="17" a="1"/>
  <c r="G614" i="17" s="1"/>
  <c r="G615" i="17" a="1"/>
  <c r="G615" i="17" s="1"/>
  <c r="G616" i="17" a="1"/>
  <c r="G616" i="17"/>
  <c r="G617" i="17" a="1"/>
  <c r="G617" i="17" s="1"/>
  <c r="G618" i="17" a="1"/>
  <c r="G618" i="17" s="1"/>
  <c r="G619" i="17" a="1"/>
  <c r="G619" i="17" s="1"/>
  <c r="G620" i="17" a="1"/>
  <c r="G620" i="17" s="1"/>
  <c r="G621" i="17" a="1"/>
  <c r="G621" i="17" s="1"/>
  <c r="G622" i="17" a="1"/>
  <c r="G622" i="17" s="1"/>
  <c r="G623" i="17" a="1"/>
  <c r="G623" i="17" s="1"/>
  <c r="G624" i="17" a="1"/>
  <c r="G624" i="17"/>
  <c r="G625" i="17" a="1"/>
  <c r="G625" i="17" s="1"/>
  <c r="G626" i="17" a="1"/>
  <c r="G626" i="17" s="1"/>
  <c r="G627" i="17" a="1"/>
  <c r="G627" i="17"/>
  <c r="G628" i="17" a="1"/>
  <c r="G628" i="17" s="1"/>
  <c r="G629" i="17" a="1"/>
  <c r="G629" i="17" s="1"/>
  <c r="G630" i="17" a="1"/>
  <c r="G630" i="17" s="1"/>
  <c r="G631" i="17" a="1"/>
  <c r="G631" i="17" s="1"/>
  <c r="G632" i="17" a="1"/>
  <c r="G632" i="17" s="1"/>
  <c r="G633" i="17" a="1"/>
  <c r="G633" i="17" s="1"/>
  <c r="G634" i="17" a="1"/>
  <c r="G634" i="17" s="1"/>
  <c r="G635" i="17" a="1"/>
  <c r="G635" i="17"/>
  <c r="G636" i="17" a="1"/>
  <c r="G636" i="17"/>
  <c r="G637" i="17" a="1"/>
  <c r="G637" i="17"/>
  <c r="G638" i="17" a="1"/>
  <c r="G638" i="17" s="1"/>
  <c r="G639" i="17" a="1"/>
  <c r="G639" i="17" s="1"/>
  <c r="G640" i="17" a="1"/>
  <c r="G640" i="17" s="1"/>
  <c r="G641" i="17" a="1"/>
  <c r="G641" i="17" s="1"/>
  <c r="G642" i="17" a="1"/>
  <c r="G642" i="17" s="1"/>
  <c r="G643" i="17" a="1"/>
  <c r="G643" i="17" s="1"/>
  <c r="G644" i="17" a="1"/>
  <c r="G644" i="17" s="1"/>
  <c r="G645" i="17" a="1"/>
  <c r="G645" i="17" s="1"/>
  <c r="G646" i="17" a="1"/>
  <c r="G646" i="17" s="1"/>
  <c r="G647" i="17" a="1"/>
  <c r="G647" i="17" s="1"/>
  <c r="G648" i="17" a="1"/>
  <c r="G648" i="17" s="1"/>
  <c r="G649" i="17" a="1"/>
  <c r="G649" i="17" s="1"/>
  <c r="G650" i="17" a="1"/>
  <c r="G650" i="17" s="1"/>
  <c r="G651" i="17" a="1"/>
  <c r="G651" i="17" s="1"/>
  <c r="G652" i="17" a="1"/>
  <c r="G652" i="17" s="1"/>
  <c r="G653" i="17" a="1"/>
  <c r="G653" i="17" s="1"/>
  <c r="G654" i="17" a="1"/>
  <c r="G654" i="17" s="1"/>
  <c r="G655" i="17" a="1"/>
  <c r="G655" i="17"/>
  <c r="G656" i="17" a="1"/>
  <c r="G656" i="17" s="1"/>
  <c r="G657" i="17" a="1"/>
  <c r="G657" i="17"/>
  <c r="G658" i="17" a="1"/>
  <c r="G658" i="17" s="1"/>
  <c r="G659" i="17" a="1"/>
  <c r="G659" i="17" s="1"/>
  <c r="G660" i="17" a="1"/>
  <c r="G660" i="17" s="1"/>
  <c r="G661" i="17" a="1"/>
  <c r="G661" i="17" s="1"/>
  <c r="G662" i="17" a="1"/>
  <c r="G662" i="17" s="1"/>
  <c r="G663" i="17" a="1"/>
  <c r="G663" i="17" s="1"/>
  <c r="G664" i="17" a="1"/>
  <c r="G664" i="17" s="1"/>
  <c r="G665" i="17" a="1"/>
  <c r="G665" i="17" s="1"/>
  <c r="G666" i="17" a="1"/>
  <c r="G666" i="17"/>
  <c r="G667" i="17" a="1"/>
  <c r="G667" i="17" s="1"/>
  <c r="G668" i="17" a="1"/>
  <c r="G668" i="17" s="1"/>
  <c r="G669" i="17" a="1"/>
  <c r="G669" i="17" s="1"/>
  <c r="G670" i="17" a="1"/>
  <c r="G670" i="17" s="1"/>
  <c r="G671" i="17" a="1"/>
  <c r="G671" i="17" s="1"/>
  <c r="G672" i="17" a="1"/>
  <c r="G672" i="17" s="1"/>
  <c r="G673" i="17" a="1"/>
  <c r="G673" i="17" s="1"/>
  <c r="G674" i="17" a="1"/>
  <c r="G674" i="17"/>
  <c r="G675" i="17" a="1"/>
  <c r="G675" i="17" s="1"/>
  <c r="G676" i="17" a="1"/>
  <c r="G676" i="17" s="1"/>
  <c r="G677" i="17" a="1"/>
  <c r="G677" i="17"/>
  <c r="G678" i="17" a="1"/>
  <c r="G678" i="17" s="1"/>
  <c r="G679" i="17" a="1"/>
  <c r="G679" i="17" s="1"/>
  <c r="G680" i="17" a="1"/>
  <c r="G680" i="17" s="1"/>
  <c r="G681" i="17" a="1"/>
  <c r="G681" i="17" s="1"/>
  <c r="G682" i="17" a="1"/>
  <c r="G682" i="17" s="1"/>
  <c r="G683" i="17" a="1"/>
  <c r="G683" i="17" s="1"/>
  <c r="G684" i="17" a="1"/>
  <c r="G684" i="17" s="1"/>
  <c r="G685" i="17" a="1"/>
  <c r="G685" i="17"/>
  <c r="G686" i="17" a="1"/>
  <c r="G686" i="17"/>
  <c r="G687" i="17" a="1"/>
  <c r="G687" i="17"/>
  <c r="G688" i="17" a="1"/>
  <c r="G688" i="17" s="1"/>
  <c r="G689" i="17" a="1"/>
  <c r="G689" i="17" s="1"/>
  <c r="G690" i="17" a="1"/>
  <c r="G690" i="17" s="1"/>
  <c r="G691" i="17" a="1"/>
  <c r="G691" i="17" s="1"/>
  <c r="G692" i="17" a="1"/>
  <c r="G692" i="17" s="1"/>
  <c r="G693" i="17" a="1"/>
  <c r="G693" i="17" s="1"/>
  <c r="G694" i="17" a="1"/>
  <c r="G694" i="17" s="1"/>
  <c r="G695" i="17" a="1"/>
  <c r="G695" i="17" s="1"/>
  <c r="G696" i="17" a="1"/>
  <c r="G696" i="17" s="1"/>
  <c r="G697" i="17" a="1"/>
  <c r="G697" i="17" s="1"/>
  <c r="G698" i="17" a="1"/>
  <c r="G698" i="17" s="1"/>
  <c r="G699" i="17" a="1"/>
  <c r="G699" i="17" s="1"/>
  <c r="G700" i="17" a="1"/>
  <c r="G700" i="17" s="1"/>
  <c r="G701" i="17" a="1"/>
  <c r="G701" i="17"/>
  <c r="G702" i="17" a="1"/>
  <c r="G702" i="17" s="1"/>
  <c r="G703" i="17" a="1"/>
  <c r="G703" i="17" s="1"/>
  <c r="G704" i="17" a="1"/>
  <c r="G704" i="17"/>
  <c r="G705" i="17" a="1"/>
  <c r="G705" i="17" s="1"/>
  <c r="G706" i="17" a="1"/>
  <c r="G706" i="17"/>
  <c r="G707" i="17" a="1"/>
  <c r="G707" i="17"/>
  <c r="G708" i="17" a="1"/>
  <c r="G708" i="17" s="1"/>
  <c r="G709" i="17" a="1"/>
  <c r="G709" i="17"/>
  <c r="G710" i="17" a="1"/>
  <c r="G710" i="17" s="1"/>
  <c r="G711" i="17" a="1"/>
  <c r="G711" i="17"/>
  <c r="G712" i="17" a="1"/>
  <c r="G712" i="17"/>
  <c r="G713" i="17" a="1"/>
  <c r="G713" i="17" s="1"/>
  <c r="G714" i="17" a="1"/>
  <c r="G714" i="17"/>
  <c r="G715" i="17" a="1"/>
  <c r="G715" i="17" s="1"/>
  <c r="G716" i="17" a="1"/>
  <c r="G716" i="17" s="1"/>
  <c r="G717" i="17" a="1"/>
  <c r="G717" i="17"/>
  <c r="G718" i="17" a="1"/>
  <c r="G718" i="17" s="1"/>
  <c r="G719" i="17" a="1"/>
  <c r="G719" i="17" s="1"/>
  <c r="G720" i="17" a="1"/>
  <c r="G720" i="17" s="1"/>
  <c r="G721" i="17" a="1"/>
  <c r="G721" i="17" s="1"/>
  <c r="G722" i="17" a="1"/>
  <c r="G722" i="17" s="1"/>
  <c r="G723" i="17" a="1"/>
  <c r="G723" i="17" s="1"/>
  <c r="G724" i="17" a="1"/>
  <c r="G724" i="17" s="1"/>
  <c r="G725" i="17" a="1"/>
  <c r="G725" i="17" s="1"/>
  <c r="G726" i="17" a="1"/>
  <c r="G726" i="17"/>
  <c r="G727" i="17" a="1"/>
  <c r="G727" i="17" s="1"/>
  <c r="G728" i="17" a="1"/>
  <c r="G728" i="17" s="1"/>
  <c r="G729" i="17" a="1"/>
  <c r="G729" i="17"/>
  <c r="G730" i="17" a="1"/>
  <c r="G730" i="17" s="1"/>
  <c r="G731" i="17" a="1"/>
  <c r="G731" i="17"/>
  <c r="G732" i="17" a="1"/>
  <c r="G732" i="17"/>
  <c r="G733" i="17" a="1"/>
  <c r="G733" i="17" s="1"/>
  <c r="G734" i="17" a="1"/>
  <c r="G734" i="17"/>
  <c r="G735" i="17" a="1"/>
  <c r="G735" i="17" s="1"/>
  <c r="G736" i="17" a="1"/>
  <c r="G736" i="17"/>
  <c r="G737" i="17" a="1"/>
  <c r="G737" i="17"/>
  <c r="G738" i="17" a="1"/>
  <c r="G738" i="17" s="1"/>
  <c r="G739" i="17" a="1"/>
  <c r="G739" i="17" s="1"/>
  <c r="G740" i="17" a="1"/>
  <c r="G740" i="17" s="1"/>
  <c r="G741" i="17" a="1"/>
  <c r="G741" i="17" s="1"/>
  <c r="G742" i="17" a="1"/>
  <c r="G742" i="17" s="1"/>
  <c r="G743" i="17" a="1"/>
  <c r="G743" i="17" s="1"/>
  <c r="G744" i="17" a="1"/>
  <c r="G744" i="17" s="1"/>
  <c r="G745" i="17" a="1"/>
  <c r="G745" i="17" s="1"/>
  <c r="G746" i="17" a="1"/>
  <c r="G746" i="17" s="1"/>
  <c r="G747" i="17" a="1"/>
  <c r="G747" i="17"/>
  <c r="G748" i="17" a="1"/>
  <c r="G748" i="17" s="1"/>
  <c r="G749" i="17" a="1"/>
  <c r="G749" i="17" s="1"/>
  <c r="G750" i="17" a="1"/>
  <c r="G750" i="17" s="1"/>
  <c r="G751" i="17" a="1"/>
  <c r="G751" i="17" s="1"/>
  <c r="G752" i="17" a="1"/>
  <c r="G752" i="17"/>
  <c r="G753" i="17" a="1"/>
  <c r="G753" i="17" s="1"/>
  <c r="G754" i="17" a="1"/>
  <c r="G754" i="17" s="1"/>
  <c r="G755" i="17" a="1"/>
  <c r="G755" i="17" s="1"/>
  <c r="G756" i="17" a="1"/>
  <c r="G756" i="17" s="1"/>
  <c r="G757" i="17" a="1"/>
  <c r="G757" i="17" s="1"/>
  <c r="G758" i="17" a="1"/>
  <c r="G758" i="17" s="1"/>
  <c r="G759" i="17" a="1"/>
  <c r="G759" i="17" s="1"/>
  <c r="G760" i="17" a="1"/>
  <c r="G760" i="17" s="1"/>
  <c r="G761" i="17" a="1"/>
  <c r="G761" i="17" s="1"/>
  <c r="G762" i="17" a="1"/>
  <c r="G762" i="17"/>
  <c r="G763" i="17" a="1"/>
  <c r="G763" i="17" s="1"/>
  <c r="G764" i="17" a="1"/>
  <c r="G764" i="17" s="1"/>
  <c r="G765" i="17" a="1"/>
  <c r="G765" i="17" s="1"/>
  <c r="G766" i="17" a="1"/>
  <c r="G766" i="17" s="1"/>
  <c r="G767" i="17" a="1"/>
  <c r="G767" i="17" s="1"/>
  <c r="G768" i="17" a="1"/>
  <c r="G768" i="17" s="1"/>
  <c r="G769" i="17" a="1"/>
  <c r="G769" i="17" s="1"/>
  <c r="G770" i="17" a="1"/>
  <c r="G770" i="17" s="1"/>
  <c r="G771" i="17" a="1"/>
  <c r="G771" i="17" s="1"/>
  <c r="G772" i="17" a="1"/>
  <c r="G772" i="17" s="1"/>
  <c r="G773" i="17" a="1"/>
  <c r="G773" i="17" s="1"/>
  <c r="G774" i="17" a="1"/>
  <c r="G774" i="17" s="1"/>
  <c r="G775" i="17" a="1"/>
  <c r="G775" i="17" s="1"/>
  <c r="G776" i="17" a="1"/>
  <c r="G776" i="17" s="1"/>
  <c r="G777" i="17" a="1"/>
  <c r="G777" i="17"/>
  <c r="G778" i="17" a="1"/>
  <c r="G778" i="17" s="1"/>
  <c r="G779" i="17" a="1"/>
  <c r="G779" i="17" s="1"/>
  <c r="G780" i="17" a="1"/>
  <c r="G780" i="17" s="1"/>
  <c r="G781" i="17" a="1"/>
  <c r="G781" i="17" s="1"/>
  <c r="G782" i="17" a="1"/>
  <c r="G782" i="17" s="1"/>
  <c r="G783" i="17" a="1"/>
  <c r="G783" i="17" s="1"/>
  <c r="G784" i="17" a="1"/>
  <c r="G784" i="17" s="1"/>
  <c r="G785" i="17" a="1"/>
  <c r="G785" i="17" s="1"/>
  <c r="G786" i="17" a="1"/>
  <c r="G786" i="17" s="1"/>
  <c r="G787" i="17" a="1"/>
  <c r="G787" i="17"/>
  <c r="G788" i="17" a="1"/>
  <c r="G788" i="17" s="1"/>
  <c r="G789" i="17" a="1"/>
  <c r="G789" i="17" s="1"/>
  <c r="G790" i="17" a="1"/>
  <c r="G790" i="17" s="1"/>
  <c r="G791" i="17" a="1"/>
  <c r="G791" i="17" s="1"/>
  <c r="G792" i="17" a="1"/>
  <c r="G792" i="17" s="1"/>
  <c r="G793" i="17" a="1"/>
  <c r="G793" i="17" s="1"/>
  <c r="G794" i="17" a="1"/>
  <c r="G794" i="17" s="1"/>
  <c r="G795" i="17" a="1"/>
  <c r="G795" i="17" s="1"/>
  <c r="G796" i="17" a="1"/>
  <c r="G796" i="17" s="1"/>
  <c r="G797" i="17" a="1"/>
  <c r="G797" i="17" s="1"/>
  <c r="G798" i="17" a="1"/>
  <c r="G798" i="17" s="1"/>
  <c r="G799" i="17" a="1"/>
  <c r="G799" i="17" s="1"/>
  <c r="G800" i="17" a="1"/>
  <c r="G800" i="17" s="1"/>
  <c r="G801" i="17" a="1"/>
  <c r="G801" i="17" s="1"/>
  <c r="G802" i="17" a="1"/>
  <c r="G802" i="17" s="1"/>
  <c r="G803" i="17" a="1"/>
  <c r="G803" i="17" s="1"/>
  <c r="G804" i="17" a="1"/>
  <c r="G804" i="17" s="1"/>
  <c r="G805" i="17" a="1"/>
  <c r="G805" i="17" s="1"/>
  <c r="G806" i="17" a="1"/>
  <c r="G806" i="17" s="1"/>
  <c r="G807" i="17" a="1"/>
  <c r="G807" i="17" s="1"/>
  <c r="G808" i="17" a="1"/>
  <c r="G808" i="17" s="1"/>
  <c r="G809" i="17" a="1"/>
  <c r="G809" i="17" s="1"/>
  <c r="G810" i="17" a="1"/>
  <c r="G810" i="17" s="1"/>
  <c r="G811" i="17" a="1"/>
  <c r="G811" i="17" s="1"/>
  <c r="G812" i="17" a="1"/>
  <c r="G812" i="17" s="1"/>
  <c r="G813" i="17" a="1"/>
  <c r="G813" i="17" s="1"/>
  <c r="G814" i="17" a="1"/>
  <c r="G814" i="17" s="1"/>
  <c r="G815" i="17" a="1"/>
  <c r="G815" i="17" s="1"/>
  <c r="G816" i="17" a="1"/>
  <c r="G816" i="17" s="1"/>
  <c r="G817" i="17" a="1"/>
  <c r="G817" i="17" s="1"/>
  <c r="G818" i="17" a="1"/>
  <c r="G818" i="17" s="1"/>
  <c r="G819" i="17" a="1"/>
  <c r="G819" i="17" s="1"/>
  <c r="G820" i="17" a="1"/>
  <c r="G820" i="17" s="1"/>
  <c r="G821" i="17" a="1"/>
  <c r="G821" i="17" s="1"/>
  <c r="G822" i="17" a="1"/>
  <c r="G822" i="17" s="1"/>
  <c r="G823" i="17" a="1"/>
  <c r="G823" i="17" s="1"/>
  <c r="G824" i="17" a="1"/>
  <c r="G824" i="17" s="1"/>
  <c r="G825" i="17" a="1"/>
  <c r="G825" i="17" s="1"/>
  <c r="G826" i="17" a="1"/>
  <c r="G826" i="17" s="1"/>
  <c r="G827" i="17" a="1"/>
  <c r="G827" i="17" s="1"/>
  <c r="G828" i="17" a="1"/>
  <c r="G828" i="17" s="1"/>
  <c r="G829" i="17" a="1"/>
  <c r="G829" i="17" s="1"/>
  <c r="G830" i="17" a="1"/>
  <c r="G830" i="17" s="1"/>
  <c r="G831" i="17" a="1"/>
  <c r="G831" i="17" s="1"/>
  <c r="G832" i="17" a="1"/>
  <c r="G832" i="17" s="1"/>
  <c r="G833" i="17" a="1"/>
  <c r="G833" i="17" s="1"/>
  <c r="G834" i="17" a="1"/>
  <c r="G834" i="17" s="1"/>
  <c r="G835" i="17" a="1"/>
  <c r="G835" i="17" s="1"/>
  <c r="G836" i="17" a="1"/>
  <c r="G836" i="17" s="1"/>
  <c r="G837" i="17" a="1"/>
  <c r="G837" i="17" s="1"/>
  <c r="G838" i="17" a="1"/>
  <c r="G838" i="17" s="1"/>
  <c r="G839" i="17" a="1"/>
  <c r="G839" i="17" s="1"/>
  <c r="G840" i="17" a="1"/>
  <c r="G840" i="17" s="1"/>
  <c r="G841" i="17" a="1"/>
  <c r="G841" i="17" s="1"/>
  <c r="G842" i="17" a="1"/>
  <c r="G842" i="17" s="1"/>
  <c r="G843" i="17" a="1"/>
  <c r="G843" i="17" s="1"/>
  <c r="G844" i="17" a="1"/>
  <c r="G844" i="17" s="1"/>
  <c r="G845" i="17" a="1"/>
  <c r="G845" i="17" s="1"/>
  <c r="G846" i="17" a="1"/>
  <c r="G846" i="17" s="1"/>
  <c r="G847" i="17" a="1"/>
  <c r="G847" i="17" s="1"/>
  <c r="G848" i="17" a="1"/>
  <c r="G848" i="17" s="1"/>
  <c r="G849" i="17" a="1"/>
  <c r="G849" i="17" s="1"/>
  <c r="G850" i="17" a="1"/>
  <c r="G850" i="17" s="1"/>
  <c r="G851" i="17" a="1"/>
  <c r="G851" i="17" s="1"/>
  <c r="G852" i="17" a="1"/>
  <c r="G852" i="17" s="1"/>
  <c r="G853" i="17" a="1"/>
  <c r="G853" i="17" s="1"/>
  <c r="G854" i="17" a="1"/>
  <c r="G854" i="17" s="1"/>
  <c r="G855" i="17" a="1"/>
  <c r="G855" i="17" s="1"/>
  <c r="G856" i="17" a="1"/>
  <c r="G856" i="17" s="1"/>
  <c r="G857" i="17" a="1"/>
  <c r="G857" i="17" s="1"/>
  <c r="G858" i="17" a="1"/>
  <c r="G858" i="17" s="1"/>
  <c r="G859" i="17" a="1"/>
  <c r="G859" i="17" s="1"/>
  <c r="G860" i="17" a="1"/>
  <c r="G860" i="17" s="1"/>
  <c r="G861" i="17" a="1"/>
  <c r="G861" i="17" s="1"/>
  <c r="G862" i="17" a="1"/>
  <c r="G862" i="17" s="1"/>
  <c r="G863" i="17" a="1"/>
  <c r="G863" i="17" s="1"/>
  <c r="G864" i="17" a="1"/>
  <c r="G864" i="17" s="1"/>
  <c r="G865" i="17" a="1"/>
  <c r="G865" i="17" s="1"/>
  <c r="G866" i="17" a="1"/>
  <c r="G866" i="17" s="1"/>
  <c r="G867" i="17" a="1"/>
  <c r="G867" i="17" s="1"/>
  <c r="G868" i="17" a="1"/>
  <c r="G868" i="17" s="1"/>
  <c r="G869" i="17" a="1"/>
  <c r="G869" i="17" s="1"/>
  <c r="G870" i="17" a="1"/>
  <c r="G870" i="17" s="1"/>
  <c r="G871" i="17" a="1"/>
  <c r="G871" i="17" s="1"/>
  <c r="G872" i="17" a="1"/>
  <c r="G872" i="17" s="1"/>
  <c r="G873" i="17" a="1"/>
  <c r="G873" i="17" s="1"/>
  <c r="G874" i="17" a="1"/>
  <c r="G874" i="17" s="1"/>
  <c r="G875" i="17" a="1"/>
  <c r="G875" i="17" s="1"/>
  <c r="G876" i="17" a="1"/>
  <c r="G876" i="17" s="1"/>
  <c r="G877" i="17" a="1"/>
  <c r="G877" i="17" s="1"/>
  <c r="G878" i="17" a="1"/>
  <c r="G878" i="17" s="1"/>
  <c r="G879" i="17" a="1"/>
  <c r="G879" i="17" s="1"/>
  <c r="G880" i="17" a="1"/>
  <c r="G880" i="17" s="1"/>
  <c r="G881" i="17" a="1"/>
  <c r="G881" i="17" s="1"/>
  <c r="G882" i="17" a="1"/>
  <c r="G882" i="17" s="1"/>
  <c r="G883" i="17" a="1"/>
  <c r="G883" i="17" s="1"/>
  <c r="G884" i="17" a="1"/>
  <c r="G884" i="17" s="1"/>
  <c r="G885" i="17" a="1"/>
  <c r="G885" i="17" s="1"/>
  <c r="G886" i="17" a="1"/>
  <c r="G886" i="17" s="1"/>
  <c r="G887" i="17" a="1"/>
  <c r="G887" i="17" s="1"/>
  <c r="G888" i="17" a="1"/>
  <c r="G888" i="17" s="1"/>
  <c r="G889" i="17" a="1"/>
  <c r="G889" i="17" s="1"/>
  <c r="G890" i="17" a="1"/>
  <c r="G890" i="17" s="1"/>
  <c r="G891" i="17" a="1"/>
  <c r="G891" i="17" s="1"/>
  <c r="G892" i="17" a="1"/>
  <c r="G892" i="17" s="1"/>
  <c r="G893" i="17" a="1"/>
  <c r="G893" i="17" s="1"/>
  <c r="G894" i="17" a="1"/>
  <c r="G894" i="17" s="1"/>
  <c r="G895" i="17" a="1"/>
  <c r="G895" i="17" s="1"/>
  <c r="G896" i="17" a="1"/>
  <c r="G896" i="17" s="1"/>
  <c r="G897" i="17" a="1"/>
  <c r="G897" i="17" s="1"/>
  <c r="G898" i="17" a="1"/>
  <c r="G898" i="17" s="1"/>
  <c r="G899" i="17" a="1"/>
  <c r="G899" i="17" s="1"/>
  <c r="G900" i="17" a="1"/>
  <c r="G900" i="17" s="1"/>
  <c r="G901" i="17" a="1"/>
  <c r="G901" i="17" s="1"/>
  <c r="G902" i="17" a="1"/>
  <c r="G902" i="17" s="1"/>
  <c r="G903" i="17" a="1"/>
  <c r="G903" i="17" s="1"/>
  <c r="G904" i="17" a="1"/>
  <c r="G904" i="17" s="1"/>
  <c r="G905" i="17" a="1"/>
  <c r="G905" i="17" s="1"/>
  <c r="G906" i="17" a="1"/>
  <c r="G906" i="17" s="1"/>
  <c r="G907" i="17" a="1"/>
  <c r="G907" i="17" s="1"/>
  <c r="G908" i="17" a="1"/>
  <c r="G908" i="17" s="1"/>
  <c r="G909" i="17" a="1"/>
  <c r="G909" i="17" s="1"/>
  <c r="G910" i="17" a="1"/>
  <c r="G910" i="17" s="1"/>
  <c r="G911" i="17" a="1"/>
  <c r="G911" i="17" s="1"/>
  <c r="G912" i="17" a="1"/>
  <c r="G912" i="17" s="1"/>
  <c r="G913" i="17" a="1"/>
  <c r="G913" i="17" s="1"/>
  <c r="G914" i="17" a="1"/>
  <c r="G914" i="17" s="1"/>
  <c r="G915" i="17" a="1"/>
  <c r="G915" i="17" s="1"/>
  <c r="G916" i="17" a="1"/>
  <c r="G916" i="17" s="1"/>
  <c r="G917" i="17" a="1"/>
  <c r="G917" i="17" s="1"/>
  <c r="G918" i="17" a="1"/>
  <c r="G918" i="17" s="1"/>
  <c r="G919" i="17" a="1"/>
  <c r="G919" i="17" s="1"/>
  <c r="G920" i="17" a="1"/>
  <c r="G920" i="17" s="1"/>
  <c r="G921" i="17" a="1"/>
  <c r="G921" i="17" s="1"/>
  <c r="G922" i="17" a="1"/>
  <c r="G922" i="17" s="1"/>
  <c r="G923" i="17" a="1"/>
  <c r="G923" i="17" s="1"/>
  <c r="G924" i="17" a="1"/>
  <c r="G924" i="17" s="1"/>
  <c r="G925" i="17" a="1"/>
  <c r="G925" i="17" s="1"/>
  <c r="G926" i="17" a="1"/>
  <c r="G926" i="17" s="1"/>
  <c r="G927" i="17" a="1"/>
  <c r="G927" i="17" s="1"/>
  <c r="G928" i="17" a="1"/>
  <c r="G928" i="17" s="1"/>
  <c r="G929" i="17" a="1"/>
  <c r="G929" i="17" s="1"/>
  <c r="G930" i="17" a="1"/>
  <c r="G930" i="17" s="1"/>
  <c r="G931" i="17" a="1"/>
  <c r="G931" i="17" s="1"/>
  <c r="G932" i="17" a="1"/>
  <c r="G932" i="17" s="1"/>
  <c r="G933" i="17" a="1"/>
  <c r="G933" i="17" s="1"/>
  <c r="G934" i="17" a="1"/>
  <c r="G934" i="17" s="1"/>
  <c r="G935" i="17" a="1"/>
  <c r="G935" i="17" s="1"/>
  <c r="G936" i="17" a="1"/>
  <c r="G936" i="17" s="1"/>
  <c r="G937" i="17" a="1"/>
  <c r="G937" i="17" s="1"/>
  <c r="G938" i="17" a="1"/>
  <c r="G938" i="17" s="1"/>
  <c r="G939" i="17" a="1"/>
  <c r="G939" i="17" s="1"/>
  <c r="G940" i="17" a="1"/>
  <c r="G940" i="17" s="1"/>
  <c r="G941" i="17" a="1"/>
  <c r="G941" i="17" s="1"/>
  <c r="G942" i="17" a="1"/>
  <c r="G942" i="17" s="1"/>
  <c r="G943" i="17" a="1"/>
  <c r="G943" i="17" s="1"/>
  <c r="G944" i="17" a="1"/>
  <c r="G944" i="17" s="1"/>
  <c r="G945" i="17" a="1"/>
  <c r="G945" i="17" s="1"/>
  <c r="G946" i="17" a="1"/>
  <c r="G946" i="17" s="1"/>
  <c r="G947" i="17" a="1"/>
  <c r="G947" i="17" s="1"/>
  <c r="G948" i="17" a="1"/>
  <c r="G948" i="17" s="1"/>
  <c r="G949" i="17" a="1"/>
  <c r="G949" i="17" s="1"/>
  <c r="G950" i="17" a="1"/>
  <c r="G950" i="17" s="1"/>
  <c r="G951" i="17" a="1"/>
  <c r="G951" i="17" s="1"/>
  <c r="G952" i="17" a="1"/>
  <c r="G952" i="17" s="1"/>
  <c r="G953" i="17" a="1"/>
  <c r="G953" i="17" s="1"/>
  <c r="G954" i="17" a="1"/>
  <c r="G954" i="17" s="1"/>
  <c r="G955" i="17" a="1"/>
  <c r="G955" i="17" s="1"/>
  <c r="G956" i="17" a="1"/>
  <c r="G956" i="17" s="1"/>
  <c r="G957" i="17" a="1"/>
  <c r="G957" i="17" s="1"/>
  <c r="G958" i="17" a="1"/>
  <c r="G958" i="17" s="1"/>
  <c r="G959" i="17" a="1"/>
  <c r="G959" i="17" s="1"/>
  <c r="G960" i="17" a="1"/>
  <c r="G960" i="17" s="1"/>
  <c r="G961" i="17" a="1"/>
  <c r="G961" i="17" s="1"/>
  <c r="G962" i="17" a="1"/>
  <c r="G962" i="17" s="1"/>
  <c r="G963" i="17" a="1"/>
  <c r="G963" i="17" s="1"/>
  <c r="G964" i="17" a="1"/>
  <c r="G964" i="17" s="1"/>
  <c r="G965" i="17" a="1"/>
  <c r="G965" i="17" s="1"/>
  <c r="G966" i="17" a="1"/>
  <c r="G966" i="17" s="1"/>
  <c r="G967" i="17" a="1"/>
  <c r="G967" i="17" s="1"/>
  <c r="G968" i="17" a="1"/>
  <c r="G968" i="17" s="1"/>
  <c r="G969" i="17" a="1"/>
  <c r="G969" i="17" s="1"/>
  <c r="G970" i="17" a="1"/>
  <c r="G970" i="17" s="1"/>
  <c r="G971" i="17" a="1"/>
  <c r="G971" i="17" s="1"/>
  <c r="G972" i="17" a="1"/>
  <c r="G972" i="17" s="1"/>
  <c r="G973" i="17" a="1"/>
  <c r="G973" i="17" s="1"/>
  <c r="G974" i="17" a="1"/>
  <c r="G974" i="17" s="1"/>
  <c r="G975" i="17" a="1"/>
  <c r="G975" i="17" s="1"/>
  <c r="G976" i="17" a="1"/>
  <c r="G976" i="17" s="1"/>
  <c r="G977" i="17" a="1"/>
  <c r="G977" i="17" s="1"/>
  <c r="G978" i="17" a="1"/>
  <c r="G978" i="17" s="1"/>
  <c r="G979" i="17" a="1"/>
  <c r="G979" i="17" s="1"/>
  <c r="G980" i="17" a="1"/>
  <c r="G980" i="17" s="1"/>
  <c r="G981" i="17" a="1"/>
  <c r="G981" i="17" s="1"/>
  <c r="G982" i="17" a="1"/>
  <c r="G982" i="17" s="1"/>
  <c r="G983" i="17" a="1"/>
  <c r="G983" i="17" s="1"/>
  <c r="G984" i="17" a="1"/>
  <c r="G984" i="17" s="1"/>
  <c r="G985" i="17" a="1"/>
  <c r="G985" i="17" s="1"/>
  <c r="G986" i="17" a="1"/>
  <c r="G986" i="17" s="1"/>
  <c r="G987" i="17" a="1"/>
  <c r="G987" i="17" s="1"/>
  <c r="G988" i="17" a="1"/>
  <c r="G988" i="17" s="1"/>
  <c r="G989" i="17" a="1"/>
  <c r="G989" i="17" s="1"/>
  <c r="G990" i="17" a="1"/>
  <c r="G990" i="17" s="1"/>
  <c r="G991" i="17" a="1"/>
  <c r="G991" i="17" s="1"/>
  <c r="G992" i="17" a="1"/>
  <c r="G992" i="17" s="1"/>
  <c r="G993" i="17" a="1"/>
  <c r="G993" i="17" s="1"/>
  <c r="G994" i="17" a="1"/>
  <c r="G994" i="17" s="1"/>
  <c r="G995" i="17" a="1"/>
  <c r="G995" i="17" s="1"/>
  <c r="G996" i="17" a="1"/>
  <c r="G996" i="17" s="1"/>
  <c r="G997" i="17" a="1"/>
  <c r="G997" i="17" s="1"/>
  <c r="G998" i="17" a="1"/>
  <c r="G998" i="17" s="1"/>
  <c r="G999" i="17" a="1"/>
  <c r="G999" i="17" s="1"/>
  <c r="G1000" i="17" a="1"/>
  <c r="G1000" i="17" s="1"/>
  <c r="G1001" i="17" a="1"/>
  <c r="G1001" i="17" s="1"/>
  <c r="G2" i="17" a="1"/>
  <c r="G2" i="17" s="1"/>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<sst xmlns="http://schemas.openxmlformats.org/spreadsheetml/2006/main" count="11135" uniqueCount="6226">
  <si>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</si>
  <si>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</si>
  <si>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</si>
  <si>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</si>
  <si>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</si>
  <si>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</si>
  <si>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</si>
  <si>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</si>
  <si>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</si>
  <si>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</si>
  <si>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</si>
  <si>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</si>
  <si>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</si>
  <si>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</si>
  <si>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</si>
  <si>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</si>
  <si>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</si>
  <si>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</si>
  <si>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</si>
  <si>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</si>
  <si>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</si>
  <si>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</si>
  <si>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</si>
  <si>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</si>
  <si>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</si>
  <si>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</si>
  <si>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</si>
  <si>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</si>
  <si>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</si>
  <si>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</si>
  <si>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</si>
  <si>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</si>
  <si>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</si>
  <si>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</si>
  <si>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</si>
  <si>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</si>
  <si>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</si>
  <si>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</si>
  <si>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</si>
  <si>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</si>
  <si>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</si>
  <si>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</si>
  <si>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</si>
  <si>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</si>
  <si>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</si>
  <si>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</si>
  <si>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</si>
  <si>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</si>
  <si>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</si>
  <si>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</si>
  <si>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</si>
  <si>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</si>
  <si>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</si>
  <si>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</si>
  <si>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</si>
  <si>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</si>
  <si>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</si>
  <si>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</si>
  <si>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</si>
  <si>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</si>
  <si>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</si>
  <si>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</si>
  <si>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</si>
  <si>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</si>
  <si>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</si>
  <si>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</si>
  <si>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</si>
  <si>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</si>
  <si>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</si>
  <si>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</si>
  <si>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</si>
  <si>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</si>
  <si>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</si>
  <si>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</si>
  <si>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</si>
  <si>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</si>
  <si>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</si>
  <si>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</si>
  <si>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</si>
  <si>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</si>
  <si>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</si>
  <si>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</si>
  <si>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</si>
  <si>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</si>
  <si>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</si>
  <si>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</si>
  <si>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</si>
  <si>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</si>
  <si>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</si>
  <si>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</si>
  <si>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</si>
  <si>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</si>
  <si>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</si>
  <si>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</si>
  <si>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</si>
  <si>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</si>
  <si>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</si>
  <si>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</si>
  <si>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</si>
  <si>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</si>
  <si>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</si>
  <si>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</si>
  <si>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</si>
  <si>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</si>
  <si>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</si>
  <si>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</si>
  <si>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</si>
  <si>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</si>
  <si>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</si>
  <si>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</si>
  <si>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</si>
  <si>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</si>
  <si>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</si>
  <si>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</si>
  <si>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</si>
  <si>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</si>
  <si>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</si>
  <si>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</si>
  <si>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</si>
  <si>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</si>
  <si>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</si>
  <si>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</si>
  <si>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</si>
  <si>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</si>
  <si>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</si>
  <si>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</si>
  <si>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</si>
  <si>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</si>
  <si>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</si>
  <si>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</si>
  <si>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</si>
  <si>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</si>
  <si>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</si>
  <si>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</si>
  <si>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</si>
  <si>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</si>
  <si>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</si>
  <si>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</si>
  <si>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</si>
  <si>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</si>
  <si>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</si>
  <si>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</si>
  <si>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</si>
  <si>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</si>
  <si>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</si>
  <si>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</si>
  <si>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</si>
  <si>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</si>
  <si>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</si>
  <si>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</si>
  <si>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</si>
  <si>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</si>
  <si>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</si>
  <si>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</si>
  <si>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</si>
  <si>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</si>
  <si>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</si>
  <si>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</si>
  <si>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</si>
  <si>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</si>
  <si>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</si>
  <si>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</si>
  <si>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</si>
  <si>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</si>
  <si>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</si>
  <si>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</si>
  <si>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</si>
  <si>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</si>
  <si>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</si>
  <si>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</si>
  <si>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</si>
  <si>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</si>
  <si>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</si>
  <si>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</si>
  <si>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</si>
  <si>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</si>
  <si>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</si>
  <si>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</si>
  <si>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</si>
  <si>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</si>
  <si>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</si>
  <si>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</si>
  <si>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</si>
  <si>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</si>
  <si>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</si>
  <si>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</si>
  <si>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</si>
  <si>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</si>
  <si>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</si>
  <si>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</si>
  <si>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</si>
  <si>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</si>
  <si>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</si>
  <si>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</si>
  <si>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</si>
  <si>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</si>
  <si>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</si>
  <si>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</si>
  <si>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</si>
  <si>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</si>
  <si>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</si>
  <si>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</si>
  <si>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</si>
  <si>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</si>
  <si>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</si>
  <si>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</si>
  <si>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</si>
  <si>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</si>
  <si>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</si>
  <si>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</si>
  <si>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</si>
  <si>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</si>
  <si>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</si>
  <si>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</si>
  <si>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</si>
  <si>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</si>
  <si>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</si>
  <si>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</si>
  <si>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</si>
  <si>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</si>
  <si>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</si>
  <si>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</si>
  <si>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</si>
  <si>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</si>
  <si>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</si>
  <si>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</si>
  <si>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</si>
  <si>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</si>
  <si>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</si>
  <si>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</si>
  <si>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</si>
  <si>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</si>
  <si>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</si>
  <si>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</si>
  <si>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</si>
  <si>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</si>
  <si>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</si>
  <si>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</si>
  <si>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</si>
  <si>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</si>
  <si>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</si>
  <si>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</si>
  <si>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</si>
  <si>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</si>
  <si>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</si>
  <si>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</si>
  <si>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</si>
  <si>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</si>
  <si>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</si>
  <si>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</si>
  <si>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</si>
  <si>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</si>
  <si>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</si>
  <si>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</si>
  <si>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</si>
  <si>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</si>
  <si>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</si>
  <si>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</si>
  <si>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</si>
  <si>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</si>
  <si>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</si>
  <si>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</si>
  <si>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</si>
  <si>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</si>
  <si>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</si>
  <si>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</si>
  <si>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</si>
  <si>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</si>
  <si>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</si>
  <si>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</si>
  <si>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</si>
  <si>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</si>
  <si>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</si>
  <si>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</si>
  <si>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</si>
  <si>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</si>
  <si>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</si>
  <si>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</si>
  <si>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</si>
  <si>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</si>
  <si>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</si>
  <si>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</si>
  <si>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</si>
  <si>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</si>
  <si>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</si>
  <si>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</si>
  <si>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</si>
  <si>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</si>
  <si>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</si>
  <si>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</si>
  <si>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</si>
  <si>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</si>
  <si>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</si>
  <si>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</si>
  <si>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</si>
  <si>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</si>
  <si>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</si>
  <si>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</si>
  <si>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</si>
  <si>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</si>
  <si>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</si>
  <si>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</si>
  <si>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</si>
  <si>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</si>
  <si>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</si>
  <si>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</si>
  <si>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</si>
  <si>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</si>
  <si>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</si>
  <si>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</si>
  <si>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</si>
  <si>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</si>
  <si>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</si>
  <si>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</si>
  <si>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</si>
  <si>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</si>
  <si>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</si>
  <si>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</si>
  <si>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</si>
  <si>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</si>
  <si>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</si>
  <si>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</si>
  <si>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</si>
  <si>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</si>
  <si>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</si>
  <si>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</si>
  <si>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</si>
  <si>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</si>
  <si>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</si>
  <si>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</si>
  <si>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</si>
  <si>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</si>
  <si>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</si>
  <si>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</si>
  <si>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</si>
  <si>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</si>
  <si>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</si>
  <si>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</si>
  <si>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</si>
  <si>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</si>
  <si>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</si>
  <si>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</si>
  <si>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</si>
  <si>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</si>
  <si>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</si>
  <si>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</si>
  <si>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</si>
  <si>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</si>
  <si>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</si>
  <si>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</si>
  <si>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</si>
  <si>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</si>
  <si>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</si>
  <si>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</si>
  <si>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</si>
  <si>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</si>
  <si>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</si>
  <si>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</si>
  <si>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</si>
  <si>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</si>
  <si>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</si>
  <si>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</si>
  <si>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</si>
  <si>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</si>
  <si>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</si>
  <si>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</si>
  <si>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</si>
  <si>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</si>
  <si>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</si>
  <si>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</si>
  <si>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</si>
  <si>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</si>
  <si>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</si>
  <si>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</si>
  <si>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</si>
  <si>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</si>
  <si>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</si>
  <si>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</si>
  <si>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</si>
  <si>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</si>
  <si>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</si>
  <si>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</si>
  <si>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</si>
  <si>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</si>
  <si>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</si>
  <si>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</si>
  <si>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</si>
  <si>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</si>
  <si>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</si>
  <si>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</si>
  <si>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</si>
  <si>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</si>
  <si>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</si>
  <si>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</si>
  <si>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</si>
  <si>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</si>
  <si>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</si>
  <si>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</si>
  <si>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</si>
  <si>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</si>
  <si>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</si>
  <si>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</si>
  <si>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</si>
  <si>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</si>
  <si>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</si>
  <si>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</si>
  <si>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</si>
  <si>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</si>
  <si>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</si>
  <si>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</si>
  <si>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</si>
  <si>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</si>
  <si>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</si>
  <si>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</si>
  <si>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</si>
  <si>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</si>
  <si>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</si>
  <si>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</si>
  <si>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</si>
  <si>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</si>
  <si>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</si>
  <si>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</si>
  <si>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</si>
  <si>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</si>
  <si>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</si>
  <si>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</si>
  <si>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</si>
  <si>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</si>
  <si>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</si>
  <si>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</si>
  <si>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</si>
  <si>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</si>
  <si>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</si>
  <si>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</si>
  <si>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</si>
  <si>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</si>
  <si>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</si>
  <si>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</si>
  <si>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</si>
  <si>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</si>
  <si>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</si>
  <si>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</si>
  <si>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</si>
  <si>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</si>
  <si>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</si>
  <si>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</si>
  <si>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</si>
  <si>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</si>
  <si>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</si>
  <si>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</si>
  <si>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</si>
  <si>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</si>
  <si>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</si>
  <si>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</si>
  <si>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</si>
  <si>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</si>
  <si>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</si>
  <si>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</si>
  <si>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</si>
  <si>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</si>
  <si>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</si>
  <si>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</si>
  <si>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</si>
  <si>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</si>
  <si>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</si>
  <si>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</si>
  <si>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</si>
  <si>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</si>
  <si>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</si>
  <si>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</si>
  <si>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</si>
  <si>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</si>
  <si>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</si>
  <si>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</si>
  <si>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</si>
  <si>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</si>
  <si>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</si>
  <si>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</si>
  <si>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</si>
  <si>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</si>
  <si>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</si>
  <si>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</si>
  <si>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</si>
  <si>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</si>
  <si>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</si>
  <si>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</si>
  <si>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</si>
  <si>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</si>
  <si>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</si>
  <si>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</si>
  <si>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</si>
  <si>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</si>
  <si>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</si>
  <si>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</si>
  <si>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</si>
  <si>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</si>
  <si>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</si>
  <si>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</si>
  <si>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</si>
  <si>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</si>
  <si>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</si>
  <si>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</si>
  <si>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</si>
  <si>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</si>
  <si>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</si>
  <si>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</si>
  <si>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</si>
  <si>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</si>
  <si>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</si>
  <si>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</si>
  <si>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</si>
  <si>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</si>
  <si>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</si>
  <si>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</si>
  <si>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</si>
  <si>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</si>
  <si>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</si>
  <si>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</si>
  <si>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</si>
  <si>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</si>
  <si>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</si>
  <si>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</si>
  <si>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</si>
  <si>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</si>
  <si>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</si>
  <si>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</si>
  <si>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</si>
  <si>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</si>
  <si>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</si>
  <si>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</si>
  <si>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</si>
  <si>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</si>
  <si>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</si>
  <si>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</si>
  <si>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</si>
  <si>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</si>
  <si>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</si>
  <si>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</si>
  <si>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</si>
  <si>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</si>
  <si>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</si>
  <si>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</si>
  <si>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</si>
  <si>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</si>
  <si>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</si>
  <si>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</si>
  <si>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</si>
  <si>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</si>
  <si>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</si>
  <si>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</si>
  <si>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</si>
  <si>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</si>
  <si>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</si>
  <si>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</si>
  <si>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</si>
  <si>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</si>
  <si>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</si>
  <si>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</si>
  <si>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</si>
  <si>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</si>
  <si>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</si>
  <si>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</si>
  <si>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</si>
  <si>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</si>
  <si>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</si>
  <si>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</si>
  <si>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</si>
  <si>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</si>
  <si>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</si>
  <si>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</si>
  <si>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</si>
  <si>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</si>
  <si>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</si>
  <si>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</si>
  <si>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</si>
  <si>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</si>
  <si>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</si>
  <si>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</si>
  <si>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</si>
  <si>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</si>
  <si>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</si>
  <si>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</si>
  <si>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</si>
  <si>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</si>
  <si>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</si>
  <si>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</si>
  <si>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</si>
  <si>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</si>
  <si>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</si>
  <si>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</si>
  <si>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</si>
  <si>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</si>
  <si>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</si>
  <si>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</si>
  <si>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</si>
  <si>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</si>
  <si>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</si>
  <si>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</si>
  <si>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</si>
  <si>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</si>
  <si>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</si>
  <si>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</si>
  <si>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</si>
  <si>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</si>
  <si>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</si>
  <si>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</si>
  <si>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</si>
  <si>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</si>
  <si>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</si>
  <si>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</si>
  <si>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</si>
  <si>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</si>
  <si>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</si>
  <si>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</si>
  <si>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</si>
  <si>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</si>
  <si>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</si>
  <si>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</si>
  <si>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</si>
  <si>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</si>
  <si>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</si>
  <si>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</si>
  <si>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</si>
  <si>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</si>
  <si>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</si>
  <si>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</si>
  <si>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</si>
  <si>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</si>
  <si>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</si>
  <si>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</si>
  <si>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</si>
  <si>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</si>
  <si>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</si>
  <si>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</si>
  <si>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</si>
  <si>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</si>
  <si>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</si>
  <si>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</si>
  <si>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</si>
  <si>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</si>
  <si>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</si>
  <si>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</si>
  <si>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</si>
  <si>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</si>
  <si>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</si>
  <si>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</si>
  <si>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</si>
  <si>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</si>
  <si>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</si>
  <si>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</si>
  <si>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</si>
  <si>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</si>
  <si>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</si>
  <si>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</si>
  <si>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</si>
  <si>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</si>
  <si>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</si>
  <si>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</si>
  <si>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</si>
  <si>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</si>
  <si>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</si>
  <si>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</si>
  <si>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</si>
  <si>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</si>
  <si>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</si>
  <si>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</si>
  <si>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</si>
  <si>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</si>
  <si>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</si>
  <si>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</si>
  <si>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</si>
  <si>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</si>
  <si>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</si>
  <si>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</si>
  <si>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</si>
  <si>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</si>
  <si>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</si>
  <si>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</si>
  <si>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</si>
  <si>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</si>
  <si>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</si>
  <si>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</si>
  <si>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</si>
  <si>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</si>
  <si>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</si>
  <si>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</si>
  <si>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</si>
  <si>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</si>
  <si>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</si>
  <si>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</si>
  <si>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</si>
  <si>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</si>
  <si>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</si>
  <si>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</si>
  <si>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</si>
  <si>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</si>
  <si>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</si>
  <si>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</si>
  <si>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</si>
  <si>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</si>
  <si>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</si>
  <si>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</si>
  <si>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</si>
  <si>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</si>
  <si>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</si>
  <si>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</si>
  <si>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</si>
  <si>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</si>
  <si>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</si>
  <si>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</si>
  <si>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</si>
  <si>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</si>
  <si>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</si>
  <si>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</si>
  <si>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</si>
  <si>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</si>
  <si>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</si>
  <si>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</si>
  <si>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</si>
  <si>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</si>
  <si>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</si>
  <si>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</si>
  <si>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</si>
  <si>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</si>
  <si>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</si>
  <si>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</si>
  <si>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</si>
  <si>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</si>
  <si>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</si>
  <si>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</si>
  <si>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</si>
  <si>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</si>
  <si>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</si>
  <si>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</si>
  <si>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</si>
  <si>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</si>
  <si>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</si>
  <si>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</si>
  <si>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</si>
  <si>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</si>
  <si>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</si>
  <si>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</si>
  <si>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</si>
  <si>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</si>
  <si>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</si>
  <si>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</si>
  <si>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</si>
  <si>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</si>
  <si>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</si>
  <si>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</si>
  <si>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</si>
  <si>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</si>
  <si>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</si>
  <si>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</si>
  <si>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</si>
  <si>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</si>
  <si>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</si>
  <si>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</si>
  <si>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</si>
  <si>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</si>
  <si>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</si>
  <si>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</si>
  <si>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</si>
  <si>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</si>
  <si>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</si>
  <si>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</si>
  <si>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</si>
  <si>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</si>
  <si>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</si>
  <si>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</si>
  <si>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</si>
  <si>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</si>
  <si>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</si>
  <si>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</si>
  <si>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</si>
  <si>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</si>
  <si>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</si>
  <si>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</si>
  <si>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</si>
  <si>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</si>
  <si>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</si>
  <si>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</si>
  <si>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</si>
  <si>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</si>
  <si>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</si>
  <si>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</si>
  <si>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</si>
  <si>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</si>
  <si>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</si>
  <si>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</si>
  <si>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</si>
  <si>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</si>
  <si>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</si>
  <si>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</si>
  <si>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</si>
  <si>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</si>
  <si>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</si>
  <si>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</si>
  <si>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</si>
  <si>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</si>
  <si>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</si>
  <si>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</si>
  <si>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</si>
  <si>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</si>
  <si>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</si>
  <si>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</si>
  <si>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</si>
  <si>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</si>
  <si>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</si>
  <si>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</si>
  <si>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</si>
  <si>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</si>
  <si>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</si>
  <si>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</si>
  <si>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</si>
  <si>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</si>
  <si>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</si>
  <si>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</si>
  <si>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</si>
  <si>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</si>
  <si>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</si>
  <si>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</si>
  <si>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</si>
  <si>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</si>
  <si>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</si>
  <si>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</si>
  <si>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</si>
  <si>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</si>
  <si>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</si>
  <si>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</si>
  <si>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</si>
  <si>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</si>
  <si>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</si>
  <si>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</si>
  <si>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</si>
  <si>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</si>
  <si>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</si>
  <si>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</si>
  <si>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</si>
  <si>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</si>
  <si>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</si>
  <si>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</si>
  <si>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</si>
  <si>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</si>
  <si>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</si>
  <si>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</si>
  <si>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</si>
  <si>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</si>
  <si>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</si>
  <si>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</si>
  <si>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</si>
  <si>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</si>
  <si>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</si>
  <si>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</si>
  <si>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</si>
  <si>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</si>
  <si>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</si>
  <si>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</si>
  <si>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</si>
  <si>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</si>
  <si>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</si>
  <si>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</si>
  <si>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</si>
  <si>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</si>
  <si>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</si>
  <si>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</si>
  <si>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</si>
  <si>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</si>
  <si>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</si>
  <si>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</si>
  <si>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</si>
  <si>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</si>
  <si>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</si>
  <si>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</si>
  <si>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</si>
  <si>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</si>
  <si>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</si>
  <si>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</si>
  <si>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</si>
  <si>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</si>
  <si>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</si>
  <si>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</si>
  <si>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</si>
  <si>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</si>
  <si>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</si>
  <si>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</si>
  <si>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</si>
  <si>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</si>
  <si>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</si>
  <si>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</si>
  <si>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</si>
  <si>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</si>
  <si>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</si>
  <si>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</si>
  <si>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</si>
  <si>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</si>
  <si>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</si>
  <si>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</si>
  <si>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</si>
  <si>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</si>
  <si>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</si>
  <si>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</si>
  <si>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</si>
  <si>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</si>
  <si>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</si>
  <si>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</si>
  <si>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</si>
  <si>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</si>
  <si>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</si>
  <si>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</si>
  <si>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</si>
  <si>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</si>
  <si>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</si>
  <si>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</si>
  <si>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</si>
  <si>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</si>
  <si>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</si>
  <si>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</si>
  <si>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</si>
  <si>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</si>
  <si>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</si>
  <si>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</si>
  <si>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</si>
  <si>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</si>
  <si>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</si>
  <si>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</si>
  <si>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</si>
  <si>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</si>
  <si>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</si>
  <si>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</si>
  <si>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</si>
  <si>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</si>
  <si>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</si>
  <si>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</si>
  <si>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</si>
  <si>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</si>
  <si>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</si>
  <si>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</si>
  <si>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</si>
  <si>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</si>
  <si>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</si>
  <si>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</si>
  <si>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</si>
  <si>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</si>
  <si>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</si>
  <si>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</si>
  <si>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</si>
  <si>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</si>
  <si>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</si>
  <si>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</si>
  <si>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</si>
  <si>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</si>
  <si>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</si>
  <si>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</si>
  <si>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</si>
  <si>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</si>
  <si>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</si>
  <si>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</si>
  <si>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</si>
  <si>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</si>
  <si>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</si>
  <si>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</si>
  <si>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</si>
  <si>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</si>
  <si>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</si>
  <si>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</si>
  <si>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</si>
  <si>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</si>
  <si>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</si>
  <si>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</si>
  <si>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</si>
  <si>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</si>
  <si>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</si>
  <si>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</si>
  <si>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</si>
  <si>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</si>
  <si>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</si>
  <si>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</si>
  <si>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</si>
  <si>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</si>
  <si>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</si>
  <si>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</si>
  <si>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</si>
  <si>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</si>
  <si>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</si>
  <si>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</si>
  <si>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</si>
  <si>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</si>
  <si>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</si>
  <si>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</si>
  <si>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</si>
  <si>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</si>
  <si>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</si>
  <si>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</si>
  <si>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</si>
  <si>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</si>
  <si>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</si>
  <si>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</si>
  <si>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</si>
  <si>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</si>
  <si>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</si>
  <si>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</si>
  <si>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</si>
  <si>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</si>
  <si>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</si>
  <si>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</si>
  <si>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</si>
  <si>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</si>
  <si>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</si>
  <si>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</si>
  <si>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</si>
  <si>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</si>
  <si>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</si>
  <si>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</si>
  <si>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</si>
  <si>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</si>
  <si>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</si>
  <si>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</si>
  <si>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</si>
  <si>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</si>
  <si>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</si>
  <si>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</si>
  <si>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</si>
  <si>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</si>
  <si>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</si>
  <si>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</si>
  <si>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</si>
  <si>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</si>
  <si>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</si>
  <si>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</si>
  <si>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</si>
  <si>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</si>
  <si>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</si>
  <si>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</si>
  <si>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</si>
  <si>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</si>
  <si>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</si>
  <si>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</si>
  <si>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</si>
  <si>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</si>
  <si>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</si>
  <si>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</si>
  <si>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</si>
  <si>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</si>
  <si>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</si>
  <si>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</si>
  <si>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</si>
  <si>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</si>
  <si>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</si>
  <si>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</si>
  <si>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</si>
  <si>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</si>
  <si>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</si>
  <si>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</si>
  <si>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</si>
  <si>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</si>
  <si>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</si>
  <si>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</si>
  <si>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</si>
  <si>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</si>
  <si>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</si>
  <si>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</si>
  <si>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</si>
  <si>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</si>
  <si>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</si>
  <si>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</si>
  <si>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</si>
  <si>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</si>
  <si>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</si>
  <si>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</si>
  <si>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</si>
  <si>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</si>
  <si>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</si>
  <si>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</si>
  <si>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</si>
  <si>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</si>
  <si>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</si>
  <si>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</si>
  <si>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</si>
  <si>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</si>
  <si>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</si>
  <si>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</si>
  <si>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</si>
  <si>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</si>
  <si>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</si>
  <si>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</si>
  <si>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</si>
  <si>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</si>
  <si>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</si>
  <si>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</si>
  <si>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</si>
  <si>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</si>
  <si>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</si>
  <si>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</si>
  <si>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</si>
  <si>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</si>
  <si>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</si>
  <si>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</si>
  <si>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</si>
  <si>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</si>
  <si>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</si>
  <si>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</si>
  <si>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</si>
  <si>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</si>
  <si>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</si>
  <si>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</si>
  <si>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</si>
  <si>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</si>
  <si>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</si>
  <si>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</si>
  <si>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</si>
  <si>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</si>
  <si>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</si>
  <si>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</si>
  <si>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</si>
  <si>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</si>
  <si>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</si>
  <si>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</si>
  <si>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</si>
  <si>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</si>
  <si>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</si>
  <si>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</si>
  <si>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</si>
  <si>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</si>
  <si>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</si>
  <si>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</si>
  <si>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</si>
  <si>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</si>
  <si>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</si>
  <si>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</si>
  <si>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</si>
  <si>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</si>
  <si>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</si>
  <si>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</si>
  <si>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</si>
  <si>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</si>
  <si>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</si>
  <si>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</si>
  <si>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</si>
  <si>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</si>
  <si>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</si>
  <si>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</si>
  <si>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</si>
  <si>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</si>
  <si>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</si>
  <si>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</si>
  <si>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</si>
  <si>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</si>
  <si>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</si>
  <si>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</si>
  <si>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</si>
  <si>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</si>
  <si>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</si>
  <si>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</si>
  <si>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</si>
  <si>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</si>
  <si>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</si>
  <si>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</si>
  <si>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</si>
  <si>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</si>
  <si>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</si>
  <si>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</si>
  <si>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</si>
  <si>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</si>
  <si>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</si>
  <si>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</si>
  <si>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</si>
  <si>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</si>
  <si>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</si>
  <si>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</si>
  <si>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</si>
  <si>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</si>
  <si>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</si>
  <si>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</si>
  <si>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</si>
  <si>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</si>
  <si>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</si>
  <si>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</si>
  <si>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</si>
  <si>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</si>
  <si>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</si>
  <si>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</si>
  <si>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</si>
  <si>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</si>
  <si>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</si>
  <si>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</si>
  <si>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</si>
  <si>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</si>
  <si>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</si>
  <si>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</si>
  <si>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</si>
  <si>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</si>
  <si>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</si>
  <si>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</si>
  <si>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</si>
  <si>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</si>
  <si>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</si>
  <si>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</si>
  <si>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</si>
  <si>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</si>
  <si>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</si>
  <si>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</si>
  <si>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</si>
  <si>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</si>
  <si>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</si>
  <si>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</si>
  <si>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</si>
  <si>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</si>
  <si>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</si>
  <si>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</si>
  <si>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</si>
  <si>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</si>
  <si>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</si>
  <si>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</si>
  <si>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</si>
  <si>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</si>
  <si>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</si>
  <si>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</si>
  <si>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</si>
  <si>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</si>
  <si>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</si>
  <si>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</si>
  <si>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</si>
  <si>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</si>
  <si>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</si>
  <si>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</si>
  <si>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</si>
  <si>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</si>
  <si>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</si>
  <si>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</si>
  <si>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</si>
  <si>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</si>
  <si>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</si>
  <si>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</si>
  <si>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</si>
  <si>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</si>
  <si>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</si>
  <si>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</si>
  <si>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</si>
  <si>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</si>
  <si>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</si>
  <si>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</si>
  <si>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</si>
  <si>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</si>
  <si>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</si>
  <si>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</si>
  <si>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</si>
  <si>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</si>
  <si>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</si>
  <si>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</si>
  <si>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</si>
  <si>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</si>
  <si>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</si>
  <si>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</si>
  <si>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</si>
  <si>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</si>
  <si>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</si>
  <si>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</si>
  <si>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</si>
  <si>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</si>
  <si>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</si>
  <si>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</si>
  <si>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</si>
  <si>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</si>
  <si>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</si>
  <si>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</si>
  <si>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</si>
  <si>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</si>
  <si>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</si>
  <si>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</si>
  <si>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</si>
  <si>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</si>
  <si>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</si>
  <si>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</si>
  <si>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</si>
  <si>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</si>
  <si>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</si>
  <si>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</si>
  <si>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</si>
  <si>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</si>
  <si>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</si>
  <si>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</si>
  <si>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</si>
  <si>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</si>
  <si>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</si>
  <si>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</si>
  <si>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</si>
  <si>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</si>
  <si>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</si>
  <si>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</si>
  <si>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</si>
  <si>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</si>
  <si>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</si>
  <si>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</si>
  <si>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</si>
  <si>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</si>
  <si>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</si>
  <si>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</si>
  <si>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</si>
  <si>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</si>
  <si>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</si>
  <si>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</si>
  <si>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</si>
  <si>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</si>
  <si>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</si>
  <si>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</si>
  <si>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</si>
  <si>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</si>
  <si>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</si>
  <si>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</si>
  <si>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</si>
  <si>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</si>
  <si>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</si>
  <si>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</si>
  <si>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</si>
  <si>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</si>
  <si>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</si>
  <si>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</si>
  <si>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</si>
  <si>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</si>
  <si>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</si>
  <si>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</si>
  <si>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</si>
  <si>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</si>
  <si>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</si>
  <si>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</si>
  <si>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</si>
  <si>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</si>
  <si>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</si>
  <si>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</si>
  <si>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</si>
  <si>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</si>
  <si>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</si>
  <si>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</si>
  <si>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</si>
  <si>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</si>
  <si>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</si>
  <si>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</si>
  <si>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</si>
  <si>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</si>
  <si>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</si>
  <si>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</si>
  <si>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</si>
  <si>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</si>
  <si>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</si>
  <si>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</si>
  <si>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</si>
  <si>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</si>
  <si>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</si>
  <si>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</si>
  <si>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</si>
  <si>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</si>
  <si>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</si>
  <si>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</si>
  <si>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</si>
  <si>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</si>
  <si>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</si>
  <si>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</si>
  <si>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</si>
  <si>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</si>
  <si>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</si>
  <si>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</si>
  <si>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</si>
  <si>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</si>
  <si>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</si>
  <si>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</si>
  <si>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</si>
  <si>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</si>
  <si>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</si>
  <si>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</si>
  <si>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</si>
  <si>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</si>
  <si>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</si>
  <si>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</si>
  <si>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</si>
  <si>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</si>
  <si>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</si>
  <si>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</si>
  <si>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</si>
  <si>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</si>
  <si>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</si>
  <si>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</si>
  <si>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</si>
  <si>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</si>
  <si>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</si>
  <si>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</si>
  <si>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</si>
  <si>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</si>
  <si>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</si>
  <si>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</si>
  <si>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</si>
  <si>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</si>
  <si>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</si>
  <si>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</si>
  <si>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</si>
  <si>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</si>
  <si>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</si>
  <si>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</si>
  <si>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</si>
  <si>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</si>
  <si>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</si>
  <si>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</si>
  <si>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</si>
  <si>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</si>
  <si>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</si>
  <si>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</si>
  <si>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</si>
  <si>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</si>
  <si>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</si>
  <si>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</si>
  <si>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</si>
  <si>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</si>
  <si>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</si>
  <si>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</si>
  <si>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</si>
  <si>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</si>
  <si>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</si>
  <si>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</si>
  <si>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</si>
  <si>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</si>
  <si>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</si>
  <si>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</si>
  <si>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</si>
  <si>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</si>
  <si>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</si>
  <si>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</si>
  <si>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</si>
  <si>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</si>
  <si>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</si>
  <si>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</si>
  <si>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</si>
  <si>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</si>
  <si>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</si>
  <si>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</si>
  <si>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</si>
  <si>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</si>
  <si>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</si>
  <si>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</si>
  <si>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</si>
  <si>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</si>
  <si>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</si>
  <si>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</si>
  <si>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</si>
  <si>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</si>
  <si>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</si>
  <si>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</si>
  <si>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</si>
  <si>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</si>
  <si>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</si>
  <si>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</si>
  <si>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</si>
  <si>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</si>
  <si>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</si>
  <si>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</si>
  <si>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</si>
  <si>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</si>
  <si>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</si>
  <si>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</si>
  <si>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</si>
  <si>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</si>
  <si>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</si>
  <si>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</si>
  <si>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</si>
  <si>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</si>
  <si>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</si>
  <si>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</si>
  <si>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</si>
  <si>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</si>
  <si>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</si>
  <si>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</si>
  <si>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</si>
  <si>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</si>
  <si>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</si>
  <si>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</si>
  <si>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</si>
  <si>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</si>
  <si>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</si>
  <si>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</si>
  <si>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</si>
  <si>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</si>
  <si>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</si>
  <si>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</si>
  <si>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</si>
  <si>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</si>
  <si>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</si>
  <si>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</si>
  <si>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</si>
  <si>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</si>
  <si>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</si>
  <si>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</si>
  <si>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</si>
  <si>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</si>
  <si>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</si>
  <si>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</si>
  <si>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</si>
  <si>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</si>
  <si>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</si>
  <si>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</si>
  <si>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</si>
  <si>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</si>
  <si>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</si>
  <si>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</si>
  <si>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</si>
  <si>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</si>
  <si>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</si>
  <si>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</si>
  <si>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</si>
  <si>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</si>
  <si>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</si>
  <si>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</si>
  <si>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</si>
  <si>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</si>
  <si>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</si>
  <si>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</si>
  <si>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</si>
  <si>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</si>
  <si>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</si>
  <si>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</si>
  <si>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</si>
  <si>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</si>
  <si>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</si>
  <si>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</si>
  <si>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</si>
  <si>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</si>
  <si>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</si>
  <si>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</si>
  <si>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</si>
  <si>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</si>
  <si>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</si>
  <si>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</si>
  <si>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</si>
  <si>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</si>
  <si>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</si>
  <si>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</si>
  <si>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</si>
  <si>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</si>
  <si>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</si>
  <si>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</si>
  <si>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</si>
  <si>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</si>
  <si>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</si>
  <si>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</si>
  <si>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</si>
  <si>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</si>
  <si>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</si>
  <si>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</si>
  <si>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</si>
  <si>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</si>
  <si>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</si>
  <si>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</si>
  <si>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</si>
  <si>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</si>
  <si>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</si>
  <si>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</si>
  <si>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</si>
  <si>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</si>
  <si>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</si>
  <si>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</si>
  <si>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</si>
  <si>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</si>
  <si>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</si>
  <si>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</si>
  <si>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</si>
  <si>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</si>
  <si>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</si>
  <si>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</si>
  <si>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</si>
  <si>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</si>
  <si>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</si>
  <si>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</si>
  <si>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</si>
  <si>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</si>
  <si>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</si>
  <si>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</si>
  <si>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</si>
  <si>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</si>
  <si>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</si>
  <si>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</si>
  <si>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</si>
  <si>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</si>
  <si>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</si>
  <si>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</si>
  <si>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</si>
  <si>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</si>
  <si>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</si>
  <si>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</si>
  <si>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</si>
  <si>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</si>
  <si>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</si>
  <si>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</si>
  <si>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</si>
  <si>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</si>
  <si>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</si>
  <si>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</si>
  <si>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</si>
  <si>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</si>
  <si>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</si>
  <si>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</si>
  <si>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</si>
  <si>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</si>
  <si>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</si>
  <si>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</si>
  <si>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</si>
  <si>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</si>
  <si>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</si>
  <si>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</si>
  <si>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</si>
  <si>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</si>
  <si>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</si>
  <si>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</si>
  <si>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</si>
  <si>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</si>
  <si>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</si>
  <si>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</si>
  <si>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</si>
  <si>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</si>
  <si>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</si>
  <si>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</si>
  <si>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</si>
  <si>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</si>
  <si>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</si>
  <si>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</si>
  <si>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</si>
  <si>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</si>
  <si>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</si>
  <si>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</si>
  <si>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</si>
  <si>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</si>
  <si>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</si>
  <si>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</si>
  <si>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</si>
  <si>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</si>
  <si>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</si>
  <si>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</si>
  <si>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</si>
  <si>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</si>
  <si>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</si>
  <si>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</si>
  <si>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</si>
  <si>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</si>
  <si>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</si>
  <si>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</si>
  <si>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</si>
  <si>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</si>
  <si>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</si>
  <si>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</si>
  <si>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</si>
  <si>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</si>
  <si>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</si>
  <si>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</si>
  <si>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</si>
  <si>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</si>
  <si>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</si>
  <si>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</si>
  <si>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</si>
  <si>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</si>
  <si>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</si>
  <si>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</si>
  <si>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</si>
  <si>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</si>
  <si>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</si>
  <si>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</si>
  <si>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</si>
  <si>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</si>
  <si>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</si>
  <si>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</si>
  <si>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</si>
  <si>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</si>
  <si>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</si>
  <si>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</si>
  <si>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</si>
  <si>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</si>
  <si>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</si>
  <si>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</si>
  <si>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</si>
  <si>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</si>
  <si>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</si>
  <si>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</si>
  <si>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</si>
  <si>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</si>
  <si>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</si>
  <si>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</si>
  <si>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</si>
  <si>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</si>
  <si>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</si>
  <si>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</si>
  <si>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</si>
  <si>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</si>
  <si>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</si>
  <si>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</si>
  <si>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</si>
  <si>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</si>
  <si>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</si>
  <si>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</si>
  <si>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</si>
  <si>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</si>
  <si>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</si>
  <si>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</si>
  <si>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</si>
  <si>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</si>
  <si>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</si>
  <si>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</si>
  <si>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</si>
  <si>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</si>
  <si>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</si>
  <si>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</si>
  <si>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</si>
  <si>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</si>
  <si>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</si>
  <si>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</si>
  <si>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</si>
  <si>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</si>
  <si>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</si>
  <si>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</si>
  <si>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</si>
  <si>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</si>
  <si>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</si>
  <si>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</si>
  <si>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</si>
  <si>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</si>
  <si>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</si>
  <si>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</si>
  <si>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</si>
  <si>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</si>
  <si>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</si>
  <si>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</si>
  <si>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</si>
  <si>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</si>
  <si>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</si>
  <si>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</si>
  <si>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</si>
  <si>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</si>
  <si>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</si>
  <si>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</si>
  <si>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</si>
  <si>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</si>
  <si>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</si>
  <si>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</si>
  <si>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</si>
  <si>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</si>
  <si>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</si>
  <si>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</si>
  <si>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</si>
  <si>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</si>
  <si>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</si>
  <si>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</si>
  <si>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</si>
  <si>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</si>
  <si>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</si>
  <si>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</si>
  <si>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</si>
  <si>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</si>
  <si>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</si>
  <si>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</si>
  <si>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</si>
  <si>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</si>
  <si>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</si>
  <si>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</si>
  <si>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</si>
  <si>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</si>
  <si>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</si>
  <si>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</si>
  <si>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</si>
  <si>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</si>
  <si>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</si>
  <si>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</si>
  <si>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</si>
  <si>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</si>
  <si>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</si>
  <si>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</si>
  <si>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</si>
  <si>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</si>
  <si>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</si>
  <si>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</si>
  <si>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</si>
  <si>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</si>
  <si>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</si>
  <si>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</si>
  <si>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</si>
  <si>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</si>
  <si>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</si>
  <si>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</si>
  <si>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</si>
  <si>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</si>
  <si>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</si>
  <si>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</si>
  <si>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</si>
  <si>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</si>
  <si>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</si>
  <si>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</si>
  <si>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</si>
  <si>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</si>
  <si>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</si>
  <si>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</si>
  <si>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</si>
  <si>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</si>
  <si>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</si>
  <si>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</si>
  <si>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</si>
  <si>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</si>
  <si>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</si>
  <si>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</si>
  <si>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</si>
  <si>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</si>
  <si>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</si>
  <si>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</si>
  <si>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</si>
  <si>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</si>
  <si>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</si>
  <si>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</si>
  <si>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</si>
  <si>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</si>
  <si>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</si>
  <si>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</si>
  <si>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</si>
  <si>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</si>
  <si>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</si>
  <si>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</si>
  <si>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</si>
  <si>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</si>
  <si>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</si>
  <si>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</si>
  <si>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</si>
  <si>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</si>
  <si>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</si>
  <si>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</si>
  <si>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</si>
  <si>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</si>
  <si>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</si>
  <si>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</si>
  <si>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</si>
  <si>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</si>
  <si>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</si>
  <si>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</si>
  <si>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</si>
  <si>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</si>
  <si>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</si>
  <si>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</si>
  <si>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</si>
  <si>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</si>
  <si>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</si>
  <si>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</si>
  <si>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</si>
  <si>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</si>
  <si>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</si>
  <si>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</si>
  <si>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</si>
  <si>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</si>
  <si>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</si>
  <si>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</si>
  <si>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</si>
  <si>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</si>
  <si>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</si>
  <si>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</si>
  <si>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</si>
  <si>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</si>
  <si>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</si>
  <si>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</si>
  <si>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</si>
  <si>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</si>
  <si>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</si>
  <si>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</si>
  <si>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</si>
  <si>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</si>
  <si>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</si>
  <si>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</si>
  <si>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</si>
  <si>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</si>
  <si>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</si>
  <si>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</si>
  <si>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</si>
  <si>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</si>
  <si>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</si>
  <si>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</si>
  <si>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</si>
  <si>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</si>
  <si>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</si>
  <si>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</si>
  <si>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</si>
  <si>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</si>
  <si>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</si>
  <si>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</si>
  <si>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</si>
  <si>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</si>
  <si>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</si>
  <si>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</si>
  <si>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</si>
  <si>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</si>
  <si>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</si>
  <si>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</si>
  <si>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</si>
  <si>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</si>
  <si>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</si>
  <si>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</si>
  <si>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</si>
  <si>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</si>
  <si>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</si>
  <si>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</si>
  <si>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</si>
  <si>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</si>
  <si>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</si>
  <si>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</si>
  <si>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</si>
  <si>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</si>
  <si>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</si>
  <si>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</si>
  <si>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</si>
  <si>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</si>
  <si>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</si>
  <si>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</si>
  <si>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</si>
  <si>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</si>
  <si>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</si>
  <si>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</si>
  <si>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</si>
  <si>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</si>
  <si>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</si>
  <si>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</si>
  <si>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</si>
  <si>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</si>
  <si>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</si>
  <si>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</si>
  <si>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</si>
  <si>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</si>
  <si>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</si>
  <si>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</si>
  <si>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</si>
  <si>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</si>
  <si>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</si>
  <si>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</si>
  <si>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</si>
  <si>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</si>
  <si>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</si>
  <si>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</si>
  <si>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</si>
  <si>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</si>
  <si>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</si>
  <si>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</si>
  <si>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</si>
  <si>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</si>
  <si>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</si>
  <si>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</si>
  <si>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</si>
  <si>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</si>
  <si>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</si>
  <si>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</si>
  <si>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</si>
  <si>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</si>
  <si>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</si>
  <si>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</si>
  <si>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</si>
  <si>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</si>
  <si>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</si>
  <si>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</si>
  <si>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</si>
  <si>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</si>
  <si>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</si>
  <si>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</si>
  <si>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</si>
  <si>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</si>
  <si>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</si>
  <si>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</si>
  <si>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</si>
  <si>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</si>
  <si>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</si>
  <si>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</si>
  <si>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</si>
  <si>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</si>
  <si>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</si>
  <si>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</si>
  <si>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</si>
  <si>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</si>
  <si>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</si>
  <si>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</si>
  <si>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</si>
  <si>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</si>
  <si>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</si>
  <si>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</si>
  <si>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</si>
  <si>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</si>
  <si>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</si>
  <si>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</si>
  <si>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</si>
  <si>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</si>
  <si>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</si>
  <si>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</si>
  <si>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</si>
  <si>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</si>
  <si>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</si>
  <si>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</si>
  <si>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</si>
  <si>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</si>
  <si>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</si>
  <si>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</si>
  <si>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</si>
  <si>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</si>
  <si>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</si>
  <si>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</si>
  <si>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</si>
  <si>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</si>
  <si>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</si>
  <si>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</si>
  <si>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</si>
  <si>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</si>
  <si>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</si>
  <si>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</si>
  <si>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</si>
  <si>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</si>
  <si>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</si>
  <si>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</si>
  <si>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</si>
  <si>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</si>
  <si>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</si>
  <si>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</si>
  <si>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</si>
  <si>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</si>
  <si>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</si>
  <si>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</si>
  <si>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</si>
  <si>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</si>
  <si>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</si>
  <si>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</si>
  <si>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</si>
  <si>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</si>
  <si>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</si>
  <si>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</si>
  <si>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</si>
  <si>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</si>
  <si>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</si>
  <si>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</si>
  <si>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</si>
  <si>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</si>
  <si>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</si>
  <si>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</si>
  <si>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</si>
  <si>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</si>
  <si>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</si>
  <si>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</si>
  <si>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</si>
  <si>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</si>
  <si>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</si>
  <si>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</si>
  <si>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</si>
  <si>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</si>
  <si>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</si>
  <si>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</si>
  <si>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</si>
  <si>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</si>
  <si>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</si>
  <si>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</si>
  <si>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</si>
  <si>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</si>
  <si>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</si>
  <si>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</si>
  <si>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</si>
  <si>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</si>
  <si>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</si>
  <si>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</si>
  <si>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</si>
  <si>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</si>
  <si>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</si>
  <si>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</si>
  <si>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</si>
  <si>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</si>
  <si>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</si>
  <si>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</si>
  <si>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</si>
  <si>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</si>
  <si>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</si>
  <si>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</si>
  <si>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</si>
  <si>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</si>
  <si>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</si>
  <si>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</si>
  <si>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</si>
  <si>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</si>
  <si>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</si>
  <si>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</si>
  <si>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</si>
  <si>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</si>
  <si>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</si>
  <si>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</si>
  <si>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</si>
  <si>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</si>
  <si>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</si>
  <si>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</si>
  <si>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</si>
  <si>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</si>
  <si>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</si>
  <si>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</si>
  <si>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</si>
  <si>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</si>
  <si>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</si>
  <si>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</si>
  <si>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</si>
  <si>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</si>
  <si>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</si>
  <si>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</si>
  <si>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</si>
  <si>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</si>
  <si>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</si>
  <si>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</si>
  <si>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</si>
  <si>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</si>
  <si>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</si>
  <si>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</si>
  <si>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</si>
  <si>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</si>
  <si>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</si>
  <si>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</si>
  <si>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</si>
  <si>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</si>
  <si>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</si>
  <si>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</si>
  <si>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</si>
  <si>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</si>
  <si>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</si>
  <si>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</si>
  <si>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</si>
  <si>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</si>
  <si>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</si>
  <si>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</si>
  <si>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</si>
  <si>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</si>
  <si>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</si>
  <si>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</si>
  <si>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</si>
  <si>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</si>
  <si>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</si>
  <si>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</si>
  <si>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</si>
  <si>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</si>
  <si>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</si>
  <si>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</si>
  <si>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</si>
  <si>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</si>
  <si>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</si>
  <si>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</si>
  <si>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</si>
  <si>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</si>
  <si>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</si>
  <si>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</si>
  <si>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</si>
  <si>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</si>
  <si>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</si>
  <si>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</si>
  <si>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</si>
  <si>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</si>
  <si>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</si>
  <si>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</si>
  <si>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</si>
  <si>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</si>
  <si>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</si>
  <si>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</si>
  <si>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</si>
  <si>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</si>
  <si>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</si>
  <si>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</si>
  <si>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</si>
  <si>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</si>
  <si>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</si>
  <si>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</si>
  <si>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</si>
  <si>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</si>
  <si>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</si>
  <si>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</si>
  <si>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</si>
  <si>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</si>
  <si>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</si>
  <si>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</si>
  <si>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</si>
  <si>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</si>
  <si>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</si>
  <si>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</si>
  <si>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</si>
  <si>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</si>
  <si>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</si>
  <si>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</si>
  <si>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</si>
  <si>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</si>
  <si>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</si>
  <si>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</si>
  <si>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</si>
  <si>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</si>
  <si>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</si>
  <si>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</si>
  <si>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</si>
  <si>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</si>
  <si>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</si>
  <si>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</si>
  <si>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</si>
  <si>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</si>
  <si>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</si>
  <si>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</si>
  <si>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</si>
  <si>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</si>
  <si>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</si>
  <si>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</si>
  <si>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</si>
  <si>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</si>
  <si>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</si>
  <si>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</si>
  <si>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</si>
  <si>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</si>
  <si>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</si>
  <si>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</si>
  <si>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</si>
  <si>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</si>
  <si>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</si>
  <si>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</si>
  <si>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</si>
  <si>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</si>
  <si>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</si>
  <si>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</si>
  <si>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</si>
  <si>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</si>
  <si>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</si>
  <si>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</si>
  <si>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</si>
  <si>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</si>
  <si>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</si>
  <si>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</si>
  <si>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</si>
  <si>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</si>
  <si>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</si>
  <si>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</si>
  <si>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</si>
  <si>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</si>
  <si>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</si>
  <si>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</si>
  <si>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</si>
  <si>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</si>
  <si>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</si>
  <si>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</si>
  <si>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</si>
  <si>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</si>
  <si>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</si>
  <si>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</si>
  <si>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</si>
  <si>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</si>
  <si>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</si>
  <si>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</si>
  <si>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</si>
  <si>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</si>
  <si>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</si>
  <si>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</si>
  <si>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</si>
  <si>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</si>
  <si>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</si>
  <si>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</si>
  <si>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</si>
  <si>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</si>
  <si>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</si>
  <si>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</si>
  <si>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</si>
  <si>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</si>
  <si>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</si>
  <si>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</si>
  <si>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</si>
  <si>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</si>
  <si>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</si>
  <si>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</si>
  <si>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</si>
  <si>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</si>
  <si>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</si>
  <si>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</si>
  <si>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</si>
  <si>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</si>
  <si>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</si>
  <si>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</si>
  <si>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</si>
  <si>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</si>
  <si>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</si>
  <si>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</si>
  <si>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</si>
  <si>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</si>
  <si>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</si>
  <si>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</si>
  <si>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</si>
  <si>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</si>
  <si>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</si>
  <si>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</si>
  <si>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</si>
  <si>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</si>
  <si>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</si>
  <si>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</si>
  <si>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</si>
  <si>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</si>
  <si>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</si>
  <si>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</si>
  <si>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</si>
  <si>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</si>
  <si>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</si>
  <si>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</si>
  <si>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</si>
  <si>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</si>
  <si>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</si>
  <si>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</si>
  <si>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</si>
  <si>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</si>
  <si>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</si>
  <si>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</si>
  <si>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</si>
  <si>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</si>
  <si>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</si>
  <si>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</si>
  <si>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</si>
  <si>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</si>
  <si>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</si>
  <si>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</si>
  <si>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</si>
  <si>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</si>
  <si>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</si>
  <si>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</si>
  <si>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</si>
  <si>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</si>
  <si>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</si>
  <si>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</si>
  <si>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</si>
  <si>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</si>
  <si>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</si>
  <si>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</si>
  <si>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</si>
  <si>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</si>
  <si>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</si>
  <si>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</si>
  <si>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</si>
  <si>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</si>
  <si>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</si>
  <si>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</si>
  <si>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</si>
  <si>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</si>
  <si>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</si>
  <si>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</si>
  <si>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</si>
  <si>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</si>
  <si>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</si>
  <si>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</si>
  <si>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</si>
  <si>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</si>
  <si>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</si>
  <si>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</si>
  <si>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</si>
  <si>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</si>
  <si>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</si>
  <si>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</si>
  <si>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</si>
  <si>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</si>
  <si>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</si>
  <si>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</si>
  <si>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</si>
  <si>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</si>
  <si>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</si>
  <si>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</si>
  <si>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</si>
  <si>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</si>
  <si>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</si>
  <si>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</si>
  <si>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</si>
  <si>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</si>
  <si>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</si>
  <si>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</si>
  <si>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</si>
  <si>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</si>
  <si>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</si>
  <si>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</si>
  <si>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</si>
  <si>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</si>
  <si>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</si>
  <si>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</si>
  <si>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</si>
  <si>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</si>
  <si>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</si>
  <si>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</si>
  <si>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</si>
  <si>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</si>
  <si>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</si>
  <si>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</si>
  <si>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</si>
  <si>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</si>
  <si>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</si>
  <si>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</si>
  <si>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</si>
  <si>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</si>
  <si>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</si>
  <si>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</si>
  <si>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</si>
  <si>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</si>
  <si>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</si>
  <si>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</si>
  <si>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</si>
  <si>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</si>
  <si>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</si>
  <si>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</si>
  <si>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</si>
  <si>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</si>
  <si>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</si>
  <si>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</si>
  <si>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</si>
  <si>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</si>
  <si>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</si>
  <si>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</si>
  <si>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</si>
  <si>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</si>
  <si>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</si>
  <si>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</si>
  <si>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</si>
  <si>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</si>
  <si>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</si>
  <si>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</si>
  <si>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</si>
  <si>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</si>
  <si>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</si>
  <si>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</si>
  <si>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</si>
  <si>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</si>
  <si>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</si>
  <si>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</si>
  <si>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</si>
  <si>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</si>
  <si>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</si>
  <si>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</si>
  <si>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</si>
  <si>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</si>
  <si>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</si>
  <si>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</si>
  <si>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</si>
  <si>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</si>
  <si>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</si>
  <si>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</si>
  <si>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</si>
  <si>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</si>
  <si>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</si>
  <si>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</si>
  <si>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</si>
  <si>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</si>
  <si>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</si>
  <si>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</si>
  <si>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</si>
  <si>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</si>
  <si>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</si>
  <si>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</si>
  <si>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</si>
  <si>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</si>
  <si>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</si>
  <si>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</si>
  <si>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</si>
  <si>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</si>
  <si>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</si>
  <si>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</si>
  <si>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</si>
  <si>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</si>
  <si>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</si>
  <si>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</si>
  <si>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</si>
  <si>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</si>
  <si>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</si>
  <si>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</si>
  <si>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</si>
  <si>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</si>
  <si>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</si>
  <si>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</si>
  <si>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</si>
  <si>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</si>
  <si>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</si>
  <si>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</si>
  <si>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</si>
  <si>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</si>
  <si>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</si>
  <si>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</si>
  <si>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</si>
  <si>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</si>
  <si>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</si>
  <si>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</si>
  <si>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</si>
  <si>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</si>
  <si>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</si>
  <si>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</si>
  <si>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</si>
  <si>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</si>
  <si>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</si>
  <si>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</si>
  <si>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</si>
  <si>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</si>
  <si>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</si>
  <si>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</si>
  <si>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</si>
  <si>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</si>
  <si>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</si>
  <si>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</si>
  <si>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</si>
  <si>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</si>
  <si>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</si>
  <si>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</si>
  <si>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</si>
  <si>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</si>
  <si>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</si>
  <si>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</si>
  <si>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</si>
  <si>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</si>
  <si>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</si>
  <si>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</si>
  <si>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</si>
  <si>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</si>
  <si>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</si>
  <si>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</si>
  <si>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</si>
  <si>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</si>
  <si>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</si>
  <si>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</si>
  <si>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</si>
  <si>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</si>
  <si>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</si>
  <si>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</si>
  <si>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</si>
  <si>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</si>
  <si>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</si>
  <si>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</si>
  <si>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</si>
  <si>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</si>
  <si>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</si>
  <si>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</si>
  <si>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</si>
  <si>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</si>
  <si>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</si>
  <si>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</si>
  <si>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</si>
  <si>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</si>
  <si>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</si>
  <si>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</si>
  <si>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</si>
  <si>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</si>
  <si>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</si>
  <si>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</si>
  <si>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</si>
  <si>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</si>
  <si>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</si>
  <si>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</si>
  <si>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</si>
  <si>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</si>
  <si>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</si>
  <si>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</si>
  <si>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</si>
  <si>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</si>
  <si>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</si>
  <si>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</si>
  <si>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</si>
  <si>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</si>
  <si>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</si>
  <si>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</si>
  <si>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</si>
  <si>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</si>
  <si>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</si>
  <si>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</si>
  <si>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</si>
  <si>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</si>
  <si>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</si>
  <si>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</si>
  <si>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</si>
  <si>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</si>
  <si>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</si>
  <si>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</si>
  <si>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</si>
  <si>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</si>
  <si>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</si>
  <si>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</si>
  <si>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</si>
  <si>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</si>
  <si>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</si>
  <si>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</si>
  <si>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</si>
  <si>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</si>
  <si>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</si>
  <si>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</si>
  <si>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</si>
  <si>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</si>
  <si>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</si>
  <si>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</si>
  <si>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</si>
  <si>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</si>
  <si>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</si>
  <si>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</si>
  <si>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</si>
  <si>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</si>
  <si>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</si>
  <si>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</si>
  <si>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</si>
  <si>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</si>
  <si>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</si>
  <si>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</si>
  <si>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</si>
  <si>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</si>
  <si>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</si>
  <si>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</si>
  <si>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</si>
  <si>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</si>
  <si>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</si>
  <si>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</si>
  <si>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</si>
  <si>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</si>
  <si>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</si>
  <si>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</si>
  <si>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</si>
  <si>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</si>
  <si>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</si>
  <si>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</si>
  <si>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</si>
  <si>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</si>
  <si>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</si>
  <si>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</si>
  <si>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</si>
  <si>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</si>
  <si>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</si>
  <si>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</si>
  <si>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</si>
  <si>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</si>
  <si>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</si>
  <si>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</si>
  <si>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</si>
  <si>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</si>
  <si>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</si>
  <si>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</si>
  <si>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</si>
  <si>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</si>
  <si>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</si>
  <si>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</si>
  <si>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</si>
  <si>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</si>
  <si>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</si>
  <si>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</si>
  <si>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</si>
  <si>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</si>
  <si>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</si>
  <si>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</si>
  <si>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</si>
  <si>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</si>
  <si>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</si>
  <si>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</si>
  <si>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</si>
  <si>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</si>
  <si>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</si>
  <si>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</si>
  <si>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</si>
  <si>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</si>
  <si>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</si>
  <si>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</si>
  <si>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</si>
  <si>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</si>
  <si>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</si>
  <si>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</si>
  <si>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</si>
  <si>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</si>
  <si>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</si>
  <si>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</si>
  <si>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</si>
  <si>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</si>
  <si>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</si>
  <si>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</si>
  <si>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</si>
  <si>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</si>
  <si>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</si>
  <si>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</si>
  <si>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</si>
  <si>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</si>
  <si>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</si>
  <si>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</si>
  <si>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</si>
  <si>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</si>
  <si>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</si>
  <si>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</si>
  <si>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</si>
  <si>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</si>
  <si>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</si>
  <si>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</si>
  <si>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</si>
  <si>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</si>
  <si>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</si>
  <si>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</si>
  <si>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</si>
  <si>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</si>
  <si>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</si>
  <si>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</si>
  <si>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</si>
  <si>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</si>
  <si>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</si>
  <si>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</si>
  <si>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</si>
  <si>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</si>
  <si>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</si>
  <si>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</si>
  <si>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</si>
  <si>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</si>
  <si>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</si>
  <si>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</si>
  <si>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</si>
  <si>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</si>
  <si>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</si>
  <si>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</si>
  <si>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</si>
  <si>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</si>
  <si>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</si>
  <si>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</si>
  <si>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</si>
  <si>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</si>
  <si>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</si>
  <si>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</si>
  <si>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</si>
  <si>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</si>
  <si>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</si>
  <si>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</si>
  <si>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</si>
  <si>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</si>
  <si>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</si>
  <si>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</si>
  <si>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</si>
  <si>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</si>
  <si>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</si>
  <si>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</si>
  <si>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</si>
  <si>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</si>
  <si>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</si>
  <si>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</si>
  <si>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</si>
  <si>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</si>
  <si>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</si>
  <si>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</si>
  <si>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</si>
  <si>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</si>
  <si>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</si>
  <si>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</si>
  <si>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</si>
  <si>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</si>
  <si>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</si>
  <si>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</si>
  <si>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</si>
  <si>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</si>
  <si>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</si>
  <si>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</si>
  <si>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</si>
  <si>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</si>
  <si>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</si>
  <si>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</si>
  <si>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</si>
  <si>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</si>
  <si>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</si>
  <si>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</si>
  <si>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</si>
  <si>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</si>
  <si>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</si>
  <si>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</si>
  <si>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</si>
  <si>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</si>
  <si>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</si>
  <si>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</si>
  <si>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</si>
  <si>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</si>
  <si>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</si>
  <si>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</si>
  <si>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</si>
  <si>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</si>
  <si>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</si>
  <si>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</si>
  <si>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</si>
  <si>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</si>
  <si>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</si>
  <si>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</si>
  <si>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</si>
  <si>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</si>
  <si>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</si>
  <si>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</si>
  <si>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</si>
  <si>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</si>
  <si>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</si>
  <si>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</si>
  <si>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</si>
  <si>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</si>
  <si>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</si>
  <si>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</si>
  <si>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</si>
  <si>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</si>
  <si>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</si>
  <si>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</si>
  <si>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</si>
  <si>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</si>
  <si>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</si>
  <si>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</si>
  <si>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</si>
  <si>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</si>
  <si>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</si>
  <si>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</si>
  <si>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</si>
  <si>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</si>
  <si>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</si>
  <si>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</si>
  <si>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</si>
  <si>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</si>
  <si>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</si>
  <si>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</si>
  <si>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</si>
  <si>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</si>
  <si>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</si>
  <si>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</si>
  <si>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</si>
  <si>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</si>
  <si>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</si>
  <si>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</si>
  <si>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</si>
  <si>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</si>
  <si>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</si>
  <si>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</si>
  <si>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</si>
  <si>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</si>
  <si>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</si>
  <si>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</si>
  <si>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</si>
  <si>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</si>
  <si>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</si>
  <si>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</si>
  <si>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</si>
  <si>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</si>
  <si>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</si>
  <si>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</si>
  <si>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</si>
  <si>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</si>
  <si>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</si>
  <si>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</si>
  <si>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</si>
  <si>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</si>
  <si>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</si>
  <si>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</si>
  <si>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</si>
  <si>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</si>
  <si>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</si>
  <si>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</si>
  <si>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</si>
  <si>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</si>
  <si>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</si>
  <si>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</si>
  <si>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</si>
  <si>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</si>
  <si>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</si>
  <si>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</si>
  <si>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</si>
  <si>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</si>
  <si>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</si>
  <si>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</si>
  <si>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</si>
  <si>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</si>
  <si>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</si>
  <si>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</si>
  <si>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</si>
  <si>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</si>
  <si>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</si>
  <si>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</si>
  <si>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</si>
  <si>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</si>
  <si>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</si>
  <si>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</si>
  <si>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</si>
  <si>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</si>
  <si>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</si>
  <si>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</si>
  <si>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</si>
  <si>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</si>
  <si>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</si>
  <si>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</si>
  <si>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</si>
  <si>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</si>
  <si>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</si>
  <si>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</si>
  <si>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</si>
  <si>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</si>
  <si>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</si>
  <si>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</si>
  <si>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</si>
  <si>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</si>
  <si>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</si>
  <si>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</si>
  <si>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</si>
  <si>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</si>
  <si>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</si>
  <si>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</si>
  <si>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</si>
  <si>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</si>
  <si>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</si>
  <si>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</si>
  <si>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</si>
  <si>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</si>
  <si>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</si>
  <si>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</si>
  <si>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</si>
  <si>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</si>
  <si>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</si>
  <si>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</si>
  <si>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</si>
  <si>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</si>
  <si>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</si>
  <si>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</si>
  <si>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</si>
  <si>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</si>
  <si>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</si>
  <si>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</si>
  <si>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</si>
  <si>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</si>
  <si>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</si>
  <si>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</si>
  <si>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</si>
  <si>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</si>
  <si>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</si>
  <si>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</si>
  <si>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</si>
  <si>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</si>
  <si>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</si>
  <si>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</si>
  <si>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</si>
  <si>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</si>
  <si>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</si>
  <si>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</si>
  <si>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</si>
  <si>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</si>
  <si>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</si>
  <si>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</si>
  <si>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</si>
  <si>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</si>
  <si>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</si>
  <si>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</si>
  <si>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</si>
  <si>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</si>
  <si>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</si>
  <si>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</si>
  <si>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</si>
  <si>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</si>
  <si>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</si>
  <si>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</si>
  <si>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</si>
  <si>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</si>
  <si>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</si>
  <si>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</si>
  <si>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</si>
  <si>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</si>
  <si>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</si>
  <si>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</si>
  <si>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</si>
  <si>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</si>
  <si>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</si>
  <si>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</si>
  <si>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</si>
  <si>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</si>
  <si>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</si>
  <si>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</si>
  <si>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</si>
  <si>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</si>
  <si>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</si>
  <si>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</si>
  <si>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</si>
  <si>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</si>
  <si>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</si>
  <si>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</si>
  <si>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</si>
  <si>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</si>
  <si>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</si>
  <si>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</si>
  <si>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</si>
  <si>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</si>
  <si>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</si>
  <si>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</si>
  <si>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</si>
  <si>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</si>
  <si>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</si>
  <si>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</si>
  <si>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</si>
  <si>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</si>
  <si>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</si>
  <si>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</si>
  <si>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</si>
  <si>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</si>
  <si>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</si>
  <si>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</si>
  <si>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</si>
  <si>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</si>
  <si>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</si>
  <si>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</si>
  <si>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</si>
  <si>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</si>
  <si>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</si>
  <si>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</si>
  <si>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</si>
  <si>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</si>
  <si>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</si>
  <si>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</si>
  <si>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</si>
  <si>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</si>
  <si>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</si>
  <si>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</si>
  <si>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</si>
  <si>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</si>
  <si>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</si>
  <si>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</si>
  <si>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</si>
  <si>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</si>
  <si>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</si>
  <si>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</si>
  <si>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</si>
  <si>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</si>
  <si>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</si>
  <si>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</si>
  <si>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</si>
  <si>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</si>
  <si>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</si>
  <si>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</si>
  <si>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</si>
  <si>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</si>
  <si>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</si>
  <si>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</si>
  <si>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</si>
  <si>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</si>
  <si>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</si>
  <si>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</si>
  <si>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</si>
  <si>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</si>
  <si>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</si>
  <si>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</si>
  <si>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</si>
  <si>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</si>
  <si>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</si>
  <si>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</si>
  <si>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</si>
  <si>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</si>
  <si>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</si>
  <si>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</si>
  <si>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</si>
  <si>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</si>
  <si>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</si>
  <si>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</si>
  <si>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</si>
  <si>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</si>
  <si>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</si>
  <si>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</si>
  <si>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</si>
  <si>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</si>
  <si>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</si>
  <si>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</si>
  <si>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</si>
  <si>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</si>
  <si>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</si>
  <si>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</si>
  <si>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</si>
  <si>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</si>
  <si>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</si>
  <si>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</si>
  <si>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</si>
  <si>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</si>
  <si>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</si>
  <si>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</si>
  <si>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</si>
  <si>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</si>
  <si>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</si>
  <si>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</si>
  <si>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</si>
  <si>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</si>
  <si>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</si>
  <si>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</si>
  <si>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</si>
  <si>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</si>
  <si>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</si>
  <si>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</si>
  <si>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</si>
  <si>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</si>
  <si>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</si>
  <si>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</si>
  <si>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</si>
  <si>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</si>
  <si>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</si>
  <si>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</si>
  <si>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</si>
  <si>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</si>
  <si>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</si>
  <si>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</si>
  <si>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</si>
  <si>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</si>
  <si>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</si>
  <si>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</si>
  <si>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</si>
  <si>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</si>
  <si>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</si>
  <si>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</si>
  <si>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</si>
  <si>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</si>
  <si>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</si>
  <si>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</si>
  <si>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</si>
  <si>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</si>
  <si>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</si>
  <si>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</si>
  <si>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</si>
  <si>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</si>
  <si>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</si>
  <si>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</si>
  <si>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</si>
  <si>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</si>
  <si>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</si>
  <si>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</si>
  <si>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</si>
  <si>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</si>
  <si>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</si>
  <si>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</si>
  <si>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</si>
  <si>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</si>
  <si>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</si>
  <si>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</si>
  <si>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</si>
  <si>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</si>
  <si>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</si>
  <si>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</si>
  <si>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</si>
  <si>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</si>
  <si>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</si>
  <si>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</si>
  <si>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</si>
  <si>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</si>
  <si>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</si>
  <si>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</si>
  <si>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</si>
  <si>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</si>
  <si>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</si>
  <si>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</si>
  <si>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</si>
  <si>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</si>
  <si>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</si>
  <si>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</si>
  <si>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</si>
  <si>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</si>
  <si>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</si>
  <si>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</si>
  <si>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</si>
  <si>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</si>
  <si>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</si>
  <si>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</si>
  <si>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</si>
  <si>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</si>
  <si>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</si>
  <si>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</si>
  <si>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</si>
  <si>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</si>
  <si>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</si>
  <si>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</si>
  <si>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</si>
  <si>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</si>
  <si>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</si>
  <si>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</si>
  <si>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</si>
  <si>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</si>
  <si>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</si>
  <si>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</si>
  <si>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</si>
  <si>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</si>
  <si>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</si>
  <si>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</si>
  <si>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</si>
  <si>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</si>
  <si>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</si>
  <si>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</si>
  <si>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</si>
  <si>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</si>
  <si>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</si>
  <si>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</si>
  <si>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</si>
  <si>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</si>
  <si>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</si>
  <si>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</si>
  <si>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</si>
  <si>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</si>
  <si>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</si>
  <si>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</si>
  <si>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</si>
  <si>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</si>
  <si>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</si>
  <si>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</si>
  <si>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</si>
  <si>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</si>
  <si>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</si>
  <si>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</si>
  <si>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</si>
  <si>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</si>
  <si>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</si>
  <si>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</si>
  <si>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</si>
  <si>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</si>
  <si>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</si>
  <si>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</si>
  <si>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</si>
  <si>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</si>
  <si>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</si>
  <si>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</si>
  <si>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</si>
  <si>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</si>
  <si>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</si>
  <si>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</si>
  <si>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</si>
  <si>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</si>
  <si>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</si>
  <si>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</si>
  <si>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</si>
  <si>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</si>
  <si>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</si>
  <si>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</si>
  <si>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</si>
  <si>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</si>
  <si>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</si>
  <si>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</si>
  <si>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</si>
  <si>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</si>
  <si>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</si>
  <si>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</si>
  <si>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</si>
  <si>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</si>
  <si>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</si>
  <si>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</si>
  <si>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</si>
  <si>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</si>
  <si>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</si>
  <si>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</si>
  <si>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</si>
  <si>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</si>
  <si>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</si>
  <si>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</si>
  <si>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</si>
  <si>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</si>
  <si>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</si>
  <si>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</si>
  <si>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</si>
  <si>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</si>
  <si>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</si>
  <si>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</si>
  <si>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</si>
  <si>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</si>
  <si>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</si>
  <si>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</si>
  <si>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</si>
  <si>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</si>
  <si>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</si>
  <si>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</si>
  <si>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</si>
  <si>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</si>
  <si>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</si>
  <si>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</si>
  <si>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</si>
  <si>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</si>
  <si>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</si>
  <si>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</si>
  <si>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</si>
  <si>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</si>
  <si>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</si>
  <si>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</si>
  <si>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</si>
  <si>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</si>
  <si>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</si>
  <si>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</si>
  <si>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</si>
  <si>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</si>
  <si>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</si>
  <si>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</si>
  <si>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</si>
  <si>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</si>
  <si>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</si>
  <si>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</si>
  <si>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</si>
  <si>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</si>
  <si>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</si>
  <si>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</si>
  <si>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</si>
  <si>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</si>
  <si>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</si>
  <si>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</si>
  <si>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</si>
  <si>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</si>
  <si>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</si>
  <si>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</si>
  <si>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</si>
  <si>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</si>
  <si>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</si>
  <si>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</si>
  <si>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</si>
  <si>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</si>
  <si>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</si>
  <si>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</si>
  <si>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</si>
  <si>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</si>
  <si>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</si>
  <si>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</si>
  <si>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</si>
  <si>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</si>
  <si>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</si>
  <si>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</si>
  <si>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</si>
  <si>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</si>
  <si>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</si>
  <si>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</si>
  <si>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</si>
  <si>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</si>
  <si>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</si>
  <si>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</si>
  <si>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</si>
  <si>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</si>
  <si>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</si>
  <si>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</si>
  <si>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</si>
  <si>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</si>
  <si>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</si>
  <si>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</si>
  <si>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</si>
  <si>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</si>
  <si>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</si>
  <si>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</si>
  <si>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</si>
  <si>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</si>
  <si>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</si>
  <si>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</si>
  <si>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</si>
  <si>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</si>
  <si>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</si>
  <si>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</si>
  <si>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</si>
  <si>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</si>
  <si>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</si>
  <si>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</si>
  <si>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</si>
  <si>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</si>
  <si>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</si>
  <si>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</si>
  <si>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</si>
  <si>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</si>
  <si>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</si>
  <si>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</si>
  <si>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</si>
  <si>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</si>
  <si>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</si>
  <si>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</si>
  <si>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</si>
  <si>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</si>
  <si>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</si>
  <si>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</si>
  <si>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</si>
  <si>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</si>
  <si>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</si>
  <si>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</si>
  <si>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</si>
  <si>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</si>
  <si>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</si>
  <si>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</si>
  <si>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</si>
  <si>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</si>
  <si>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</si>
  <si>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</si>
  <si>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</si>
  <si>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</si>
  <si>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</si>
  <si>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</si>
  <si>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</si>
  <si>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</si>
  <si>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</si>
  <si>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</si>
  <si>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</si>
  <si>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</si>
  <si>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</si>
  <si>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</si>
  <si>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</si>
  <si>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</si>
  <si>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</si>
  <si>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</si>
  <si>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</si>
  <si>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</si>
  <si>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</si>
  <si>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</si>
  <si>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</si>
  <si>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</si>
  <si>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</si>
  <si>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</si>
  <si>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</si>
  <si>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</si>
  <si>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</si>
  <si>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</si>
  <si>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</si>
  <si>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</si>
  <si>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</si>
  <si>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</si>
  <si>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</si>
  <si>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</si>
  <si>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</si>
  <si>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</si>
  <si>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</si>
  <si>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</si>
  <si>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</si>
  <si>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</si>
  <si>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</si>
  <si>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</si>
  <si>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</si>
  <si>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</si>
  <si>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</si>
  <si>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</si>
  <si>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</si>
  <si>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</si>
  <si>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</si>
  <si>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</si>
  <si>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</si>
  <si>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</si>
  <si>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</si>
  <si>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</si>
  <si>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</si>
  <si>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</si>
  <si>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</si>
  <si>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</si>
  <si>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</si>
  <si>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</si>
  <si>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</si>
  <si>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</si>
  <si>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</si>
  <si>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</si>
  <si>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</si>
  <si>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</si>
  <si>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</si>
  <si>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</si>
  <si>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</si>
  <si>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</si>
  <si>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</si>
  <si>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</si>
  <si>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</si>
  <si>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</si>
  <si>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</si>
  <si>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</si>
  <si>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</si>
  <si>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</si>
  <si>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</si>
  <si>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</si>
  <si>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</si>
  <si>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</si>
  <si>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</si>
  <si>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</si>
  <si>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</si>
  <si>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</si>
  <si>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</si>
  <si>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</si>
  <si>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</si>
  <si>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</si>
  <si>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</si>
  <si>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</si>
  <si>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</si>
  <si>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</si>
  <si>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</si>
  <si>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</si>
  <si>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</si>
  <si>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</si>
  <si>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</si>
  <si>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</si>
  <si>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</si>
  <si>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</si>
  <si>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</si>
  <si>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</si>
  <si>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</si>
  <si>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</si>
  <si>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</si>
  <si>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</si>
  <si>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</si>
  <si>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</si>
  <si>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</si>
  <si>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</si>
  <si>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</si>
  <si>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</si>
  <si>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</si>
  <si>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</si>
  <si>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</si>
  <si>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</si>
  <si>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</si>
  <si>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</si>
  <si>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</si>
  <si>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</si>
  <si>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</si>
  <si>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</si>
  <si>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</si>
  <si>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</si>
  <si>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</si>
  <si>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</si>
  <si>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</si>
  <si>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</si>
  <si>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</si>
  <si>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</si>
  <si>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</si>
  <si>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</si>
  <si>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</si>
  <si>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</si>
  <si>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</si>
  <si>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</si>
  <si>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</si>
  <si>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</si>
  <si>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</si>
  <si>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</si>
  <si>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</si>
  <si>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</si>
  <si>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</si>
  <si>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</si>
  <si>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</si>
  <si>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</si>
  <si>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</si>
  <si>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</si>
  <si>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</si>
  <si>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</si>
  <si>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</si>
  <si>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</si>
  <si>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</si>
  <si>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</si>
  <si>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</si>
  <si>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</si>
  <si>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</si>
  <si>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</si>
  <si>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</si>
  <si>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</si>
  <si>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</si>
  <si>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</si>
  <si>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</si>
  <si>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</si>
  <si>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</si>
  <si>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</si>
  <si>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</si>
  <si>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</si>
  <si>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</si>
  <si>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</si>
  <si>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</si>
  <si>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</si>
  <si>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</si>
  <si>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</si>
  <si>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</si>
  <si>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</si>
  <si>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</si>
  <si>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</si>
  <si>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</si>
  <si>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</si>
  <si>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</si>
  <si>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</si>
  <si>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</si>
  <si>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</si>
  <si>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</si>
  <si>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</si>
  <si>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</si>
  <si>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</si>
  <si>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</si>
  <si>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</si>
  <si>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</si>
  <si>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</si>
  <si>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</si>
  <si>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</si>
  <si>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</si>
  <si>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</si>
  <si>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</si>
  <si>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</si>
  <si>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</si>
  <si>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</si>
  <si>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</si>
  <si>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</si>
  <si>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</si>
  <si>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</si>
  <si>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</si>
  <si>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</si>
  <si>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</si>
  <si>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</si>
  <si>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</si>
  <si>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</si>
  <si>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</si>
  <si>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</si>
  <si>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</si>
  <si>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</si>
  <si>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</si>
  <si>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</si>
  <si>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</si>
  <si>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</si>
  <si>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</si>
  <si>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</si>
  <si>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</si>
  <si>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</si>
  <si>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</si>
  <si>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</si>
  <si>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</si>
  <si>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</si>
  <si>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</si>
  <si>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</si>
  <si>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</si>
  <si>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</si>
  <si>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</si>
  <si>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</si>
  <si>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</si>
  <si>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</si>
  <si>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</si>
  <si>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</si>
  <si>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</si>
  <si>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</si>
  <si>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</si>
  <si>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</si>
  <si>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</si>
  <si>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</si>
  <si>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</si>
  <si>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</si>
  <si>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</si>
  <si>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</si>
  <si>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</si>
  <si>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</si>
  <si>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</si>
  <si>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</si>
  <si>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</si>
  <si>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</si>
  <si>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</si>
  <si>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</si>
  <si>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</si>
  <si>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</si>
  <si>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</si>
  <si>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</si>
  <si>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</si>
  <si>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</si>
  <si>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</si>
  <si>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</si>
  <si>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</si>
  <si>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</si>
  <si>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</si>
  <si>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</si>
  <si>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</si>
  <si>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</si>
  <si>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</si>
  <si>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</si>
  <si>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</si>
  <si>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</si>
  <si>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</si>
  <si>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</si>
  <si>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</si>
  <si>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</si>
  <si>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</si>
  <si>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</si>
  <si>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</si>
  <si>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</si>
  <si>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</si>
  <si>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</si>
  <si>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</si>
  <si>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</si>
  <si>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</si>
  <si>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</si>
  <si>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</si>
  <si>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</si>
  <si>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</si>
  <si>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</si>
  <si>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</si>
  <si>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</si>
  <si>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</si>
  <si>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</si>
  <si>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</si>
  <si>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</si>
  <si>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</si>
  <si>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</si>
  <si>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</si>
  <si>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</si>
  <si>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</si>
  <si>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</si>
  <si>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</si>
  <si>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</si>
  <si>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</si>
  <si>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</si>
  <si>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</si>
  <si>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</si>
  <si>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</si>
  <si>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</si>
  <si>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</si>
  <si>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</si>
  <si>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</si>
  <si>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</si>
  <si>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</si>
  <si>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</si>
  <si>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</si>
  <si>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</si>
  <si>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</si>
  <si>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</si>
  <si>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</si>
  <si>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</si>
  <si>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</si>
  <si>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</si>
  <si>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</si>
  <si>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</si>
  <si>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</si>
  <si>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</si>
  <si>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</si>
  <si>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</si>
  <si>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</si>
  <si>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</si>
  <si>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</si>
  <si>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</si>
  <si>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</si>
  <si>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</si>
  <si>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</si>
  <si>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</si>
  <si>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</si>
  <si>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</si>
  <si>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</si>
  <si>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</si>
  <si>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</si>
  <si>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</si>
  <si>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</si>
  <si>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</si>
  <si>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</si>
  <si>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</si>
  <si>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</si>
  <si>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</si>
  <si>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</si>
  <si>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</si>
  <si>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</si>
  <si>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</si>
  <si>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</si>
  <si>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</si>
  <si>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</si>
  <si>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</si>
  <si>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</si>
  <si>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</si>
  <si>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</si>
  <si>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</si>
  <si>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</si>
  <si>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</si>
  <si>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</si>
  <si>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</si>
  <si>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</si>
  <si>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</si>
  <si>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</si>
  <si>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</si>
  <si>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</si>
  <si>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</si>
  <si>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</si>
  <si>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</si>
  <si>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</si>
  <si>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</si>
  <si>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</si>
  <si>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</si>
  <si>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</si>
  <si>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</si>
  <si>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</si>
  <si>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</si>
  <si>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</si>
  <si>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</si>
  <si>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</si>
  <si>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</si>
  <si>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</si>
  <si>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</si>
  <si>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</si>
  <si>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</si>
  <si>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</si>
  <si>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</si>
  <si>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</si>
  <si>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</si>
  <si>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</si>
  <si>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</si>
  <si>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</si>
  <si>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</si>
  <si>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</si>
  <si>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</si>
  <si>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</si>
  <si>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</si>
  <si>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</si>
  <si>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</si>
  <si>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</si>
  <si>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</si>
  <si>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</si>
  <si>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</si>
  <si>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</si>
  <si>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</si>
  <si>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</si>
  <si>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</si>
  <si>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</si>
  <si>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</si>
  <si>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</si>
  <si>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</si>
  <si>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</si>
  <si>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</si>
  <si>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</si>
  <si>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</si>
  <si>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</si>
  <si>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</si>
  <si>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</si>
  <si>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</si>
  <si>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</si>
  <si>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</si>
  <si>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</si>
  <si>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</si>
  <si>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</si>
  <si>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</si>
  <si>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</si>
  <si>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</si>
  <si>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</si>
  <si>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</si>
  <si>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</si>
  <si>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</si>
  <si>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</si>
  <si>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</si>
  <si>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</si>
  <si>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</si>
  <si>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</si>
  <si>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</si>
  <si>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</si>
  <si>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</si>
  <si>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</si>
  <si>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</si>
  <si>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</si>
  <si>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</si>
  <si>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</si>
  <si>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</si>
  <si>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</si>
  <si>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</si>
  <si>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</si>
  <si>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</si>
  <si>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</si>
  <si>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</si>
  <si>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</si>
  <si>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</si>
  <si>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</si>
  <si>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</si>
  <si>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</si>
  <si>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</si>
  <si>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</si>
  <si>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</si>
  <si>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</si>
  <si>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</si>
  <si>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</si>
  <si>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</si>
  <si>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</si>
  <si>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</si>
  <si>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</si>
  <si>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</si>
  <si>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</si>
  <si>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</si>
  <si>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</si>
  <si>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</si>
  <si>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</si>
  <si>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</si>
  <si>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</si>
  <si>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</si>
  <si>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</si>
  <si>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</si>
  <si>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</si>
  <si>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</si>
  <si>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</si>
  <si>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</si>
  <si>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</si>
  <si>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</si>
  <si>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</si>
  <si>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</si>
  <si>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</si>
  <si>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</si>
  <si>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</si>
  <si>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</si>
  <si>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</si>
  <si>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</si>
  <si>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</si>
  <si>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</si>
  <si>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</si>
  <si>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</si>
  <si>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</si>
  <si>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</si>
  <si>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</si>
  <si>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</si>
  <si>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</si>
  <si>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</si>
  <si>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</si>
  <si>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</si>
  <si>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</si>
  <si>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</si>
  <si>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</si>
  <si>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</si>
  <si>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</si>
  <si>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</si>
  <si>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</si>
  <si>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</si>
  <si>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</si>
  <si>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</si>
  <si>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</si>
  <si>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</si>
  <si>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</si>
  <si>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</si>
  <si>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</si>
  <si>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</si>
  <si>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</si>
  <si>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</si>
  <si>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</si>
  <si>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</si>
  <si>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</si>
  <si>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</si>
  <si>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</si>
  <si>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</si>
  <si>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</si>
  <si>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</si>
  <si>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</si>
  <si>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</si>
  <si>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</si>
  <si>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</si>
  <si>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</si>
  <si>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</si>
  <si>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</si>
  <si>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</si>
  <si>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</si>
  <si>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</si>
  <si>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</si>
  <si>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</si>
  <si>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</si>
  <si>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</si>
  <si>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</si>
  <si>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</si>
  <si>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</si>
  <si>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</si>
  <si>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</si>
  <si>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</si>
  <si>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</si>
  <si>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</si>
  <si>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</si>
  <si>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</si>
  <si>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</si>
  <si>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</si>
  <si>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</si>
  <si>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</si>
  <si>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</si>
  <si>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</si>
  <si>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</si>
  <si>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</si>
  <si>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</si>
  <si>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</si>
  <si>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</si>
  <si>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</si>
  <si>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</si>
  <si>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</si>
  <si>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</si>
  <si>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</si>
  <si>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</si>
  <si>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</si>
  <si>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</si>
  <si>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</si>
  <si>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</si>
  <si>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</si>
  <si>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</si>
  <si>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</si>
  <si>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</si>
  <si>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</si>
  <si>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</si>
  <si>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</si>
  <si>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</si>
  <si>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</si>
  <si>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</si>
  <si>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</si>
  <si>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</si>
  <si>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</si>
  <si>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</si>
  <si>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</si>
  <si>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</si>
  <si>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</si>
  <si>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</si>
  <si>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</si>
  <si>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</si>
  <si>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</si>
  <si>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</si>
  <si>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</si>
  <si>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</si>
  <si>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</si>
  <si>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</si>
  <si>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</si>
  <si>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</si>
  <si>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</si>
  <si>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</si>
  <si>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</si>
  <si>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</si>
  <si>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</si>
  <si>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</si>
  <si>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</si>
  <si>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</si>
  <si>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</si>
  <si>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</si>
  <si>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</si>
  <si>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</si>
  <si>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</si>
  <si>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</si>
  <si>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</si>
  <si>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</si>
  <si>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</si>
  <si>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</si>
  <si>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</si>
  <si>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</si>
  <si>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</si>
  <si>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</si>
  <si>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</si>
  <si>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</si>
  <si>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</si>
  <si>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</si>
  <si>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</si>
  <si>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</si>
  <si>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</si>
  <si>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</si>
  <si>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</si>
  <si>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</si>
  <si>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</si>
  <si>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</si>
  <si>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</si>
  <si>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</si>
  <si>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</si>
  <si>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</si>
  <si>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</si>
  <si>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</si>
  <si>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</si>
  <si>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</si>
  <si>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</si>
  <si>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</si>
  <si>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</si>
  <si>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</si>
  <si>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</si>
  <si>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</si>
  <si>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</si>
  <si>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</si>
  <si>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</si>
  <si>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</si>
  <si>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</si>
  <si>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</si>
  <si>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</si>
  <si>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</si>
  <si>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</si>
  <si>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</si>
  <si>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</si>
  <si>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</si>
  <si>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</si>
  <si>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</si>
  <si>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</si>
  <si>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</si>
  <si>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</si>
  <si>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</si>
  <si>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</si>
  <si>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</si>
  <si>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</si>
  <si>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</si>
  <si>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</si>
  <si>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</si>
  <si>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</si>
  <si>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</si>
  <si>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</si>
  <si>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</si>
  <si>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</si>
  <si>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</si>
  <si>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</si>
  <si>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</si>
  <si>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</si>
  <si>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</si>
  <si>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</si>
  <si>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</si>
  <si>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</si>
  <si>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</si>
  <si>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</si>
  <si>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</si>
  <si>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</si>
  <si>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</si>
  <si>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</si>
  <si>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</si>
  <si>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</si>
  <si>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</si>
  <si>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</si>
  <si>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</si>
  <si>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</si>
  <si>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</si>
  <si>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</si>
  <si>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</si>
  <si>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</si>
  <si>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</si>
  <si>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</si>
  <si>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</si>
  <si>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</si>
  <si>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</si>
  <si>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</si>
  <si>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</si>
  <si>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</si>
  <si>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</si>
  <si>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</si>
  <si>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</si>
  <si>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</si>
  <si>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</si>
  <si>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</si>
  <si>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</si>
  <si>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</si>
  <si>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</si>
  <si>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</si>
  <si>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</si>
  <si>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</si>
  <si>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</si>
  <si>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</si>
  <si>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</si>
  <si>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</si>
  <si>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</si>
  <si>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</si>
  <si>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</si>
  <si>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</si>
  <si>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</si>
  <si>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</si>
  <si>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</si>
  <si>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</si>
  <si>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</si>
  <si>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</si>
  <si>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</si>
  <si>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</si>
  <si>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</si>
  <si>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</si>
  <si>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</si>
  <si>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</si>
  <si>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</si>
  <si>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</si>
  <si>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</si>
  <si>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</si>
  <si>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</si>
  <si>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</si>
  <si>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</si>
  <si>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</si>
  <si>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</si>
  <si>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</si>
  <si>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</si>
  <si>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</si>
  <si>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</si>
  <si>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</si>
  <si>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</si>
  <si>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</si>
  <si>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</si>
  <si>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</si>
  <si>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</si>
  <si>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</si>
  <si>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</si>
  <si>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</si>
  <si>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</si>
  <si>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</si>
  <si>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</si>
  <si>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</si>
  <si>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</si>
  <si>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</si>
  <si>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</si>
  <si>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</si>
  <si>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</si>
  <si>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</si>
  <si>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</si>
  <si>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</si>
  <si>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</si>
  <si>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</si>
  <si>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</si>
  <si>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</si>
  <si>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</si>
  <si>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</si>
  <si>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</si>
  <si>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</si>
  <si>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</si>
  <si>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</si>
  <si>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</si>
  <si>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</si>
  <si>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</si>
  <si>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</si>
  <si>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</si>
  <si>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</si>
  <si>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</si>
  <si>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</si>
  <si>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</si>
  <si>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</si>
  <si>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</si>
  <si>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</si>
  <si>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</si>
  <si>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</si>
  <si>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</si>
  <si>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</si>
  <si>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</si>
  <si>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</si>
  <si>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</si>
  <si>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</si>
  <si>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</si>
  <si>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</si>
  <si>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</si>
  <si>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</si>
  <si>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</si>
  <si>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</si>
  <si>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</si>
  <si>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</si>
  <si>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</si>
  <si>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</si>
  <si>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</si>
  <si>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</si>
  <si>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</si>
  <si>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</si>
  <si>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</si>
  <si>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</si>
  <si>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</si>
  <si>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</si>
  <si>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</si>
  <si>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</si>
  <si>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</si>
  <si>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</si>
  <si>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</si>
  <si>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</si>
  <si>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</si>
  <si>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</si>
  <si>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</si>
  <si>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</si>
  <si>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</si>
  <si>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</si>
  <si>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</si>
  <si>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</si>
  <si>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</si>
  <si>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</si>
  <si>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</si>
  <si>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</si>
  <si>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</si>
  <si>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</si>
  <si>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</si>
  <si>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</si>
  <si>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</si>
  <si>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</si>
  <si>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</si>
  <si>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</si>
  <si>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</si>
  <si>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</si>
  <si>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</si>
  <si>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</si>
  <si>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</si>
  <si>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</si>
  <si>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</si>
  <si>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</si>
  <si>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</si>
  <si>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</si>
  <si>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</si>
  <si>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</si>
  <si>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</si>
  <si>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</si>
  <si>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</si>
  <si>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</si>
  <si>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</si>
  <si>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</si>
  <si>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</si>
  <si>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</si>
  <si>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</si>
  <si>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</si>
  <si>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</si>
  <si>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</si>
  <si>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</si>
  <si>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</si>
  <si>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</si>
  <si>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</si>
  <si>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</si>
  <si>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</si>
  <si>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</si>
  <si>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</si>
  <si>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</si>
  <si>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</si>
  <si>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</si>
  <si>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</si>
  <si>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</si>
  <si>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</si>
  <si>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</si>
  <si>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</si>
  <si>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</si>
  <si>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</si>
  <si>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</si>
  <si>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</si>
  <si>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</si>
  <si>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</si>
  <si>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</si>
  <si>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</si>
  <si>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</si>
  <si>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</si>
  <si>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</si>
  <si>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</si>
  <si>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</si>
  <si>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</si>
  <si>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</si>
  <si>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</si>
  <si>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</si>
  <si>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</si>
  <si>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</si>
  <si>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</si>
  <si>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</si>
  <si>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</si>
  <si>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</si>
  <si>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</si>
  <si>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</si>
  <si>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</si>
  <si>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</si>
  <si>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</si>
  <si>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</si>
  <si>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</si>
  <si>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</si>
  <si>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</si>
  <si>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</si>
  <si>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</si>
  <si>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</si>
  <si>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</si>
  <si>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</si>
  <si>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</si>
  <si>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</si>
  <si>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</si>
  <si>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</si>
  <si>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</si>
  <si>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</si>
  <si>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</si>
  <si>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</si>
  <si>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</si>
  <si>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</si>
  <si>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</si>
  <si>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</si>
  <si>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</si>
  <si>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</si>
  <si>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</si>
  <si>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</si>
  <si>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</si>
  <si>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</si>
  <si>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</si>
  <si>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</si>
  <si>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</si>
  <si>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</si>
  <si>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</si>
  <si>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</si>
  <si>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</si>
  <si>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</si>
  <si>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</si>
  <si>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</si>
  <si>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</si>
  <si>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</si>
  <si>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</si>
  <si>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</si>
  <si>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</si>
  <si>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</si>
  <si>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</si>
  <si>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</si>
  <si>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</si>
  <si>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</si>
  <si>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</si>
  <si>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</si>
  <si>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</si>
  <si>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</si>
  <si>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</si>
  <si>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</si>
  <si>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</si>
  <si>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</si>
  <si>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</si>
  <si>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</si>
  <si>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</si>
  <si>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</si>
  <si>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</si>
  <si>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</si>
  <si>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</si>
  <si>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</si>
  <si>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</si>
  <si>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</si>
  <si>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</si>
  <si>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</si>
  <si>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</si>
  <si>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</si>
  <si>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</si>
  <si>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</si>
  <si>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</si>
  <si>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</si>
  <si>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</si>
  <si>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</si>
  <si>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</si>
  <si>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</si>
  <si>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</si>
  <si>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</si>
  <si>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</si>
  <si>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</si>
  <si>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</si>
  <si>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</si>
  <si>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</si>
  <si>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</si>
  <si>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</si>
  <si>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</si>
  <si>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</si>
  <si>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</si>
  <si>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</si>
  <si>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</si>
  <si>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</si>
  <si>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</si>
  <si>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</si>
  <si>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</si>
  <si>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</si>
  <si>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</si>
  <si>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</si>
  <si>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</si>
  <si>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</si>
  <si>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</si>
  <si>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</si>
  <si>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</si>
  <si>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</si>
  <si>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</si>
  <si>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</si>
  <si>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</si>
  <si>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</si>
  <si>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</si>
  <si>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</si>
  <si>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</si>
  <si>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</si>
  <si>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</si>
  <si>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</si>
  <si>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</si>
  <si>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</si>
  <si>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</si>
  <si>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</si>
  <si>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</si>
  <si>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</si>
  <si>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</si>
  <si>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</si>
  <si>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</si>
  <si>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</si>
  <si>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</si>
  <si>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</si>
  <si>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</si>
  <si>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</si>
  <si>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</si>
  <si>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</si>
  <si>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</si>
  <si>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</si>
  <si>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</si>
  <si>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</si>
  <si>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</si>
  <si>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</si>
  <si>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</si>
  <si>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</si>
  <si>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</si>
  <si>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</si>
  <si>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</si>
  <si>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</si>
  <si>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</si>
  <si>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</si>
  <si>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</si>
  <si>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</si>
  <si>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</si>
  <si>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</si>
  <si>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</si>
  <si>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</si>
  <si>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</si>
  <si>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</si>
  <si>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</si>
  <si>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</si>
  <si>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</si>
  <si>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</si>
  <si>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</si>
  <si>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</si>
  <si>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</si>
  <si>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</si>
  <si>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</si>
  <si>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</si>
  <si>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</si>
  <si>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</si>
  <si>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</si>
  <si>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</si>
  <si>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</si>
  <si>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</si>
  <si>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</si>
  <si>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</si>
  <si>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</si>
  <si>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</si>
  <si>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</si>
  <si>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</si>
  <si>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</si>
  <si>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</si>
  <si>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</si>
  <si>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</si>
  <si>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</si>
  <si>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</si>
  <si>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</si>
  <si>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</si>
  <si>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</si>
  <si>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</si>
  <si>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</si>
  <si>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</si>
  <si>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</si>
  <si>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</si>
  <si>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</si>
  <si>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</si>
  <si>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</si>
  <si>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</si>
  <si>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</si>
  <si>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</si>
  <si>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</si>
  <si>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</si>
  <si>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</si>
  <si>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</si>
  <si>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</si>
  <si>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</si>
  <si>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</si>
  <si>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</si>
  <si>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</si>
  <si>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</si>
  <si>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</si>
  <si>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</si>
  <si>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</si>
  <si>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</si>
  <si>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</si>
  <si>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</si>
  <si>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</si>
  <si>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</si>
  <si>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</si>
  <si>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</si>
  <si>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</si>
  <si>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</si>
  <si>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</si>
  <si>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</si>
  <si>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</si>
  <si>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</si>
  <si>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</si>
  <si>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</si>
  <si>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</si>
  <si>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</si>
  <si>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</si>
  <si>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</si>
  <si>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</si>
  <si>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</si>
  <si>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</si>
  <si>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</si>
  <si>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</si>
  <si>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</si>
  <si>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</si>
  <si>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</si>
  <si>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</si>
  <si>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</si>
  <si>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</si>
  <si>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</si>
  <si>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</si>
  <si>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</si>
  <si>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</si>
  <si>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</si>
  <si>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</si>
  <si>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</si>
  <si>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</si>
  <si>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</si>
  <si>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</si>
  <si>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</si>
  <si>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</si>
  <si>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</si>
  <si>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</si>
  <si>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</si>
  <si>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</si>
  <si>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</si>
  <si>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</si>
  <si>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</si>
  <si>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</si>
  <si>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</si>
  <si>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</si>
  <si>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</si>
  <si>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</si>
  <si>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</si>
  <si>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</si>
  <si>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</si>
  <si>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</si>
  <si>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</si>
  <si>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</si>
  <si>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</si>
  <si>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</si>
  <si>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</si>
  <si>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</si>
  <si>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</si>
  <si>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</si>
  <si>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</si>
  <si>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</si>
  <si>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</si>
  <si>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</si>
  <si>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</si>
  <si>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</si>
  <si>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</si>
  <si>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</si>
  <si>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</si>
  <si>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</si>
  <si>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</si>
  <si>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</si>
  <si>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</si>
  <si>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</si>
  <si>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</si>
  <si>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</si>
  <si>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</si>
  <si>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</si>
  <si>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</si>
  <si>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</si>
  <si>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</si>
  <si>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</si>
  <si>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</si>
  <si>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</si>
  <si>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</si>
  <si>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</si>
  <si>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</si>
  <si>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</si>
  <si>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</si>
  <si>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</si>
  <si>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</si>
  <si>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</si>
  <si>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</si>
  <si>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</si>
  <si>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</si>
  <si>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</si>
  <si>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</si>
  <si>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</si>
  <si>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</si>
  <si>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</si>
  <si>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</si>
  <si>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</si>
  <si>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</si>
  <si>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</si>
  <si>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</si>
  <si>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</si>
  <si>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</si>
  <si>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</si>
  <si>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</si>
  <si>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</si>
  <si>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</si>
  <si>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</si>
  <si>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</si>
  <si>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</si>
  <si>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</si>
  <si>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</si>
  <si>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</si>
  <si>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</si>
  <si>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</si>
  <si>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</si>
  <si>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</si>
  <si>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</si>
  <si>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</si>
  <si>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</si>
  <si>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</si>
  <si>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</si>
  <si>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</si>
  <si>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</si>
  <si>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</si>
  <si>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</si>
  <si>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</si>
  <si>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</si>
  <si>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</si>
  <si>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</si>
  <si>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</si>
  <si>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</si>
  <si>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</si>
  <si>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</si>
  <si>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</si>
  <si>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</si>
  <si>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</si>
  <si>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</si>
  <si>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</si>
  <si>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</si>
  <si>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</si>
  <si>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</si>
  <si>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</si>
  <si>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</si>
  <si>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</si>
  <si>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</si>
  <si>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</si>
  <si>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</si>
  <si>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</si>
  <si>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</si>
  <si>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</si>
  <si>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</si>
  <si>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</si>
  <si>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</si>
  <si>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</si>
  <si>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</si>
  <si>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</si>
  <si>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</si>
  <si>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</si>
  <si>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</si>
  <si>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</si>
  <si>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</si>
  <si>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</si>
  <si>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</si>
  <si>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</si>
  <si>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</si>
  <si>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</si>
  <si>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</si>
  <si>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</si>
  <si>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</si>
  <si>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</si>
  <si>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</si>
  <si>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</si>
  <si>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</si>
  <si>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</si>
  <si>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</si>
  <si>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</si>
  <si>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</si>
  <si>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</si>
  <si>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</si>
  <si>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</si>
  <si>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</si>
  <si>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</si>
  <si>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</si>
  <si>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</si>
  <si>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</si>
  <si>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</si>
  <si>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</si>
  <si>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</si>
  <si>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</si>
  <si>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</si>
  <si>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</si>
  <si>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</si>
  <si>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</si>
  <si>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</si>
  <si>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</si>
  <si>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</si>
  <si>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</si>
  <si>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</si>
  <si>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</si>
  <si>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</si>
  <si>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</si>
  <si>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</si>
  <si>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</si>
  <si>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</si>
  <si>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</si>
  <si>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</si>
  <si>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</si>
  <si>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</si>
  <si>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</si>
  <si>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</si>
  <si>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</si>
  <si>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</si>
  <si>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</si>
  <si>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</si>
  <si>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</si>
  <si>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</si>
  <si>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</si>
  <si>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</si>
  <si>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</si>
  <si>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</si>
  <si>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</si>
  <si>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</si>
  <si>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</si>
  <si>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</si>
  <si>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</si>
  <si>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</si>
  <si>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</si>
  <si>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</si>
  <si>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</si>
  <si>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</si>
  <si>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</si>
  <si>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</si>
  <si>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</si>
  <si>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</si>
  <si>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</si>
  <si>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</si>
  <si>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</si>
  <si>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</si>
  <si>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</si>
  <si>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</si>
  <si>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</si>
  <si>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</si>
  <si>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</si>
  <si>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</si>
  <si>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</si>
  <si>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</si>
  <si>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</si>
  <si>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</si>
  <si>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</si>
  <si>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</si>
  <si>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</si>
  <si>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</si>
  <si>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</si>
  <si>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</si>
  <si>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</si>
  <si>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</si>
  <si>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</si>
  <si>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</si>
  <si>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</si>
  <si>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</si>
  <si>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</si>
  <si>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</si>
  <si>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</si>
  <si>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</si>
  <si>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</si>
  <si>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</si>
  <si>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</si>
  <si>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</si>
  <si>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</si>
  <si>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</si>
  <si>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</si>
  <si>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</si>
  <si>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</si>
  <si>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</si>
  <si>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</si>
  <si>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</si>
  <si>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</si>
  <si>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</si>
  <si>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</si>
  <si>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</si>
  <si>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</si>
  <si>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</si>
  <si>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</si>
  <si>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</si>
  <si>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</si>
  <si>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</si>
  <si>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</si>
  <si>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</si>
  <si>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</si>
  <si>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</si>
  <si>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</si>
  <si>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</si>
  <si>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</si>
  <si>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</si>
  <si>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</si>
  <si>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</si>
  <si>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</si>
  <si>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</si>
  <si>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</si>
  <si>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</si>
  <si>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</si>
  <si>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</si>
  <si>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</si>
  <si>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</si>
  <si>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</si>
  <si>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</si>
  <si>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</si>
  <si>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</si>
  <si>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</si>
  <si>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</si>
  <si>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</si>
  <si>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</si>
  <si>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</si>
  <si>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</si>
  <si>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</si>
  <si>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</si>
  <si>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</si>
  <si>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</si>
  <si>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</si>
  <si>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</si>
  <si>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</si>
  <si>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</si>
  <si>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</si>
  <si>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</si>
  <si>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</si>
  <si>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</si>
  <si>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</si>
  <si>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</si>
  <si>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</si>
  <si>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</si>
  <si>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</si>
  <si>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</si>
  <si>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</si>
  <si>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</si>
  <si>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</si>
  <si>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</si>
  <si>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</si>
  <si>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</si>
  <si>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</si>
  <si>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</si>
  <si>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</si>
  <si>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</si>
  <si>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</si>
  <si>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</si>
  <si>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</si>
  <si>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</si>
  <si>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</si>
  <si>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</si>
  <si>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</si>
  <si>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</si>
  <si>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</si>
  <si>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</si>
  <si>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</si>
  <si>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</si>
  <si>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</si>
  <si>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</si>
  <si>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</si>
  <si>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</si>
  <si>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</si>
  <si>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</si>
  <si>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</si>
  <si>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</si>
  <si>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</si>
  <si>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</si>
  <si>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</si>
  <si>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</si>
  <si>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</si>
  <si>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</si>
  <si>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</si>
  <si>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</si>
  <si>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</si>
  <si>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</si>
  <si>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</si>
  <si>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</si>
  <si>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</si>
  <si>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</si>
  <si>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</si>
  <si>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</si>
  <si>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</si>
  <si>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</si>
  <si>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</si>
  <si>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</si>
  <si>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</si>
  <si>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</si>
  <si>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</si>
  <si>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</si>
  <si>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</si>
  <si>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</si>
  <si>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</si>
  <si>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</si>
  <si>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</si>
  <si>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</si>
  <si>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</si>
  <si>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</si>
  <si>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</si>
  <si>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</si>
  <si>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</si>
  <si>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</si>
  <si>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</si>
  <si>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</si>
  <si>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</si>
  <si>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</si>
  <si>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</si>
  <si>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</si>
  <si>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</si>
  <si>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</si>
  <si>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</si>
  <si>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</si>
  <si>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</si>
  <si>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</si>
  <si>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</si>
  <si>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</si>
  <si>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</si>
  <si>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</si>
  <si>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</si>
  <si>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</si>
  <si>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</si>
  <si>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</si>
  <si>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</si>
  <si>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</si>
  <si>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</si>
  <si>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</si>
  <si>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</si>
  <si>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</si>
  <si>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</si>
  <si>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</si>
  <si>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</si>
  <si>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</si>
  <si>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</si>
  <si>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</si>
  <si>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</si>
  <si>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</si>
  <si>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</si>
  <si>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</si>
  <si>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</si>
  <si>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</si>
  <si>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</si>
  <si>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</si>
  <si>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</si>
  <si>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</si>
  <si>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</si>
  <si>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</si>
  <si>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</si>
  <si>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</si>
  <si>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</si>
  <si>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</si>
  <si>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</si>
  <si>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</si>
  <si>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</si>
  <si>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</si>
  <si>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</si>
  <si>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</si>
  <si>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</si>
  <si>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</si>
  <si>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</si>
  <si>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</si>
  <si>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</si>
  <si>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</si>
  <si>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</si>
  <si>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</si>
  <si>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</si>
  <si>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</si>
  <si>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</si>
  <si>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</si>
  <si>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</si>
  <si>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</si>
  <si>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</si>
  <si>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</si>
  <si>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</si>
  <si>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</si>
  <si>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</si>
  <si>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</si>
  <si>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</si>
  <si>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</si>
  <si>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</si>
  <si>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</si>
  <si>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</si>
  <si>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</si>
  <si>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</si>
  <si>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</si>
  <si>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</si>
  <si>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</si>
  <si>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</si>
  <si>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</si>
  <si>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</si>
  <si>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</si>
  <si>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</si>
  <si>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</si>
  <si>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</si>
  <si>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</si>
  <si>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</si>
  <si>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</si>
  <si>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</si>
  <si>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</si>
  <si>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</si>
  <si>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</si>
  <si>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</si>
  <si>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</si>
  <si>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</si>
  <si>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</si>
  <si>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</si>
  <si>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</si>
  <si>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</si>
  <si>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</si>
  <si>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</si>
  <si>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</si>
  <si>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</si>
  <si>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</si>
  <si>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</si>
  <si>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</si>
  <si>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</si>
  <si>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</si>
  <si>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</si>
  <si>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</si>
  <si>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</si>
  <si>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</si>
  <si>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</si>
  <si>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</si>
  <si>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</si>
  <si>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</si>
  <si>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</si>
  <si>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</si>
  <si>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</si>
  <si>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</si>
  <si>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</si>
  <si>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</si>
  <si>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</si>
  <si>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</si>
  <si>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</si>
  <si>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</si>
  <si>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</si>
  <si>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</si>
  <si>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</si>
  <si>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</si>
  <si>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</si>
  <si>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</si>
  <si>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</si>
  <si>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</si>
  <si>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</si>
  <si>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</si>
  <si>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</si>
  <si>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</si>
  <si>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</si>
  <si>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</si>
  <si>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</si>
  <si>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</si>
  <si>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</si>
  <si>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</si>
  <si>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</si>
  <si>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</si>
  <si>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</si>
  <si>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</si>
  <si>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</si>
  <si>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</si>
  <si>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</si>
  <si>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</si>
  <si>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</si>
  <si>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</si>
  <si>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</si>
  <si>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</si>
  <si>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</si>
  <si>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</si>
  <si>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</si>
  <si>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</si>
  <si>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</si>
  <si>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</si>
  <si>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</si>
  <si>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</si>
  <si>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</si>
  <si>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</si>
  <si>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</si>
  <si>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</si>
  <si>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</si>
  <si>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</si>
  <si>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</si>
  <si>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</si>
  <si>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</si>
  <si>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</si>
  <si>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</si>
  <si>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</si>
  <si>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</si>
  <si>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</si>
  <si>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</si>
  <si>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</si>
  <si>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</si>
  <si>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</si>
  <si>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</si>
  <si>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</si>
  <si>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</si>
  <si>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</si>
  <si>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</si>
  <si>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</si>
  <si>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</si>
  <si>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</si>
  <si>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</si>
  <si>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</si>
  <si>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</si>
  <si>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</si>
  <si>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</si>
  <si>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</si>
  <si>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</si>
  <si>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</si>
  <si>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</si>
  <si>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</si>
  <si>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</si>
  <si>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</si>
  <si>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</si>
  <si>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</si>
  <si>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</si>
  <si>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</si>
  <si>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</si>
  <si>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</si>
  <si>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</si>
  <si>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</si>
  <si>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</si>
  <si>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</si>
  <si>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</si>
  <si>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</si>
  <si>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</si>
  <si>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</si>
  <si>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</si>
  <si>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</si>
  <si>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</si>
  <si>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</si>
  <si>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</si>
  <si>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</si>
  <si>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</si>
  <si>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</si>
  <si>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</si>
  <si>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</si>
  <si>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</si>
  <si>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</si>
  <si>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</si>
  <si>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</si>
  <si>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</si>
  <si>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</si>
  <si>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</si>
  <si>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</si>
  <si>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</si>
  <si>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</si>
  <si>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</si>
  <si>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</si>
  <si>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</si>
  <si>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</si>
  <si>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</si>
  <si>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</si>
  <si>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</si>
  <si>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</si>
  <si>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</si>
  <si>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</si>
  <si>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</si>
  <si>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</si>
  <si>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</si>
  <si>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</si>
  <si>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</si>
  <si>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</si>
  <si>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</si>
  <si>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</si>
  <si>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</si>
  <si>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</si>
  <si>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</si>
  <si>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</si>
  <si>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</si>
  <si>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</si>
  <si>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</si>
  <si>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</si>
  <si>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</si>
  <si>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</si>
  <si>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</si>
  <si>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</si>
  <si>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</si>
  <si>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</si>
  <si>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</si>
  <si>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</si>
  <si>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</si>
  <si>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</si>
  <si>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</si>
  <si>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</si>
  <si>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</si>
  <si>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</si>
  <si>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</si>
  <si>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</si>
  <si>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</si>
  <si>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</si>
  <si>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</si>
  <si>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</si>
  <si>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</si>
  <si>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</si>
  <si>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</si>
  <si>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</si>
  <si>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</si>
  <si>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</si>
  <si>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</si>
  <si>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</si>
  <si>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</si>
  <si>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</si>
  <si>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</si>
  <si>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</si>
  <si>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</si>
  <si>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</si>
  <si>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</si>
  <si>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</si>
  <si>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</si>
  <si>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</si>
  <si>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</si>
  <si>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</si>
  <si>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</si>
  <si>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</si>
  <si>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</si>
  <si>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</si>
  <si>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</si>
  <si>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</si>
  <si>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</si>
  <si>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</si>
  <si>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</si>
  <si>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</si>
  <si>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</si>
  <si>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</si>
  <si>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</si>
  <si>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</si>
  <si>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</si>
  <si>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</si>
  <si>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</si>
  <si>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</si>
  <si>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</si>
  <si>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</si>
  <si>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</si>
  <si>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</si>
  <si>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</si>
  <si>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</si>
  <si>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</si>
  <si>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</si>
  <si>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</si>
  <si>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</si>
  <si>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</si>
  <si>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</si>
  <si>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</si>
  <si>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</si>
  <si>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</si>
  <si>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</si>
  <si>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</si>
  <si>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</si>
  <si>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</si>
  <si>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</si>
  <si>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</si>
  <si>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</si>
  <si>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</si>
  <si>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</si>
  <si>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</si>
  <si>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</si>
  <si>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</si>
  <si>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</si>
  <si>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</si>
  <si>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</si>
  <si>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</si>
  <si>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</si>
  <si>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</si>
  <si>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</si>
  <si>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</si>
  <si>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</si>
  <si>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</si>
  <si>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</si>
  <si>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</si>
  <si>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</si>
  <si>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</si>
  <si>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</si>
  <si>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</si>
  <si>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</si>
  <si>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</si>
  <si>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</si>
  <si>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</si>
  <si>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</si>
  <si>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</si>
  <si>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</si>
  <si>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</si>
  <si>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</si>
  <si>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</si>
  <si>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</si>
  <si>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</si>
  <si>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</si>
  <si>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</si>
  <si>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</si>
  <si>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</si>
  <si>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</si>
  <si>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</si>
  <si>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</si>
  <si>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</si>
  <si>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</si>
  <si>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</si>
  <si>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</si>
  <si>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</si>
  <si>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</si>
  <si>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</si>
  <si>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</si>
  <si>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</si>
  <si>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</si>
  <si>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</si>
  <si>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</si>
  <si>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</si>
  <si>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</si>
  <si>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</si>
  <si>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</si>
  <si>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</si>
  <si>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</si>
  <si>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</si>
  <si>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</si>
  <si>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</si>
  <si>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</si>
  <si>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</si>
  <si>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</si>
  <si>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</si>
  <si>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</si>
  <si>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</si>
  <si>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</si>
  <si>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</si>
  <si>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</si>
  <si>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</si>
  <si>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</si>
  <si>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</si>
  <si>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</si>
  <si>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</si>
  <si>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</si>
  <si>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</si>
  <si>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</si>
  <si>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</si>
  <si>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</si>
  <si>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</si>
  <si>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</si>
  <si>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</si>
  <si>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</si>
  <si>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</si>
  <si>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</si>
  <si>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</si>
  <si>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</si>
  <si>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</si>
  <si>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</si>
  <si>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</si>
  <si>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</si>
  <si>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</si>
  <si>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</si>
  <si>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</si>
  <si>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</si>
  <si>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</si>
  <si>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</si>
  <si>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</si>
  <si>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</si>
  <si>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</si>
  <si>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</si>
  <si>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</si>
  <si>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</si>
  <si>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</si>
  <si>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</si>
  <si>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</si>
  <si>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</si>
  <si>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</si>
  <si>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</si>
  <si>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</si>
  <si>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</si>
  <si>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</si>
  <si>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</si>
  <si>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</si>
  <si>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</si>
  <si>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</si>
  <si>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</si>
  <si>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</si>
  <si>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</si>
  <si>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</si>
  <si>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</si>
  <si>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</si>
  <si>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</si>
  <si>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</si>
  <si>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</si>
  <si>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</si>
  <si>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</si>
  <si>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</si>
  <si>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</si>
  <si>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</si>
  <si>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</si>
  <si>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</si>
  <si>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</si>
  <si>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</si>
  <si>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</si>
  <si>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</si>
  <si>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</si>
  <si>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</si>
  <si>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</si>
  <si>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</si>
  <si>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</si>
  <si>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</si>
  <si>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</si>
  <si>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</si>
  <si>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</si>
  <si>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</si>
  <si>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</si>
  <si>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</si>
  <si>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</si>
  <si>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</si>
  <si>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</si>
  <si>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</si>
  <si>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</si>
  <si>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</si>
  <si>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</si>
  <si>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</si>
  <si>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</si>
  <si>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</si>
  <si>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</si>
  <si>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</si>
  <si>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</si>
  <si>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</si>
  <si>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</si>
  <si>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</si>
  <si>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</si>
  <si>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</si>
  <si>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</si>
  <si>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</si>
  <si>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</si>
  <si>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</si>
  <si>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</si>
  <si>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</si>
  <si>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</si>
  <si>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</si>
  <si>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</si>
  <si>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</si>
  <si>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</si>
  <si>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</si>
  <si>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</si>
  <si>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</si>
  <si>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</si>
  <si>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</si>
  <si>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</si>
  <si>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</si>
  <si>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</si>
  <si>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</si>
  <si>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</si>
  <si>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</si>
  <si>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</si>
  <si>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</si>
  <si>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</si>
  <si>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</si>
  <si>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</si>
  <si>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</si>
  <si>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</si>
  <si>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</si>
  <si>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</si>
  <si>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</si>
  <si>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</si>
  <si>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</si>
  <si>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</si>
  <si>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</si>
  <si>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</si>
  <si>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</si>
  <si>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</si>
  <si>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</si>
  <si>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</si>
  <si>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</si>
  <si>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</si>
  <si>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</si>
  <si>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</si>
  <si>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</si>
  <si>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</si>
  <si>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</si>
  <si>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</si>
  <si>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</si>
  <si>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</si>
  <si>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</si>
  <si>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</si>
  <si>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</si>
  <si>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</si>
  <si>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</si>
  <si>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</si>
  <si>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</si>
  <si>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</si>
  <si>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</si>
  <si>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</si>
  <si>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</si>
  <si>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</si>
  <si>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</si>
  <si>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</si>
  <si>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</si>
  <si>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</si>
  <si>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</si>
  <si>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</si>
  <si>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</si>
  <si>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</si>
  <si>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</si>
  <si>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</si>
  <si>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</si>
  <si>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</si>
  <si>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</si>
  <si>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</si>
  <si>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</si>
  <si>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</si>
  <si>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</si>
  <si>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</si>
  <si>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</si>
  <si>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</si>
  <si>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</si>
  <si>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</si>
  <si>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</si>
  <si>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</si>
  <si>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</si>
  <si>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</si>
  <si>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</si>
  <si>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</si>
  <si>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</si>
  <si>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</si>
  <si>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</si>
  <si>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</si>
  <si>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</si>
  <si>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</si>
  <si>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</si>
  <si>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</si>
  <si>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</si>
  <si>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</si>
  <si>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</si>
  <si>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</si>
  <si>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</si>
  <si>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</si>
  <si>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</si>
  <si>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</si>
  <si>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</si>
  <si>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</si>
  <si>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</si>
  <si>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</si>
  <si>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</si>
  <si>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</si>
  <si>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</si>
  <si>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</si>
  <si>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</si>
  <si>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</si>
  <si>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</si>
  <si>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</si>
  <si>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</si>
  <si>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</si>
  <si>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</si>
  <si>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</si>
  <si>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</si>
  <si>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</si>
  <si>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</si>
  <si>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</si>
  <si>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</si>
  <si>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</si>
  <si>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</si>
  <si>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</si>
  <si>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</si>
  <si>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</si>
  <si>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</si>
  <si>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</si>
  <si>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</si>
  <si>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</si>
  <si>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</si>
  <si>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</si>
  <si>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</si>
  <si>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</si>
  <si>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</si>
  <si>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</si>
  <si>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</si>
  <si>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</si>
  <si>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</si>
  <si>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</si>
  <si>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</si>
  <si>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</si>
  <si>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</si>
  <si>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</si>
  <si>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</si>
  <si>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</si>
  <si>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</si>
  <si>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</si>
  <si>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</si>
  <si>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</si>
  <si>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</si>
  <si>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</si>
  <si>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</si>
  <si>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</si>
  <si>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</si>
  <si>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</si>
  <si>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</si>
  <si>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</si>
  <si>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</si>
  <si>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</si>
  <si>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</si>
  <si>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</si>
  <si>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</si>
  <si>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</si>
  <si>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</si>
  <si>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</si>
  <si>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</si>
  <si>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</si>
  <si>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</si>
  <si>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</si>
  <si>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</si>
  <si>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</si>
  <si>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</si>
  <si>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</si>
  <si>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</si>
  <si>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</si>
  <si>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</si>
  <si>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</si>
  <si>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</si>
  <si>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</si>
  <si>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</si>
  <si>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</si>
  <si>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</si>
  <si>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</si>
  <si>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</si>
  <si>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</si>
  <si>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</si>
  <si>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</si>
  <si>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</si>
  <si>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</si>
  <si>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</si>
  <si>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</si>
  <si>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</si>
  <si>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</si>
  <si>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</si>
  <si>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</si>
  <si>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</si>
  <si>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</si>
  <si>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</si>
  <si>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</si>
  <si>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</si>
  <si>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</si>
  <si>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</si>
  <si>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</si>
  <si>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</si>
  <si>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</si>
  <si>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</si>
  <si>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</si>
  <si>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</si>
  <si>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</si>
  <si>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</si>
  <si>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</si>
  <si>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</si>
  <si>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</si>
  <si>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</si>
  <si>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</si>
  <si>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</si>
  <si>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</si>
  <si>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</si>
  <si>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</si>
  <si>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</si>
  <si>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</si>
  <si>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</si>
  <si>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</si>
  <si>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</si>
  <si>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</si>
  <si>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</si>
  <si>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</si>
  <si>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</si>
  <si>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</si>
  <si>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</si>
  <si>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</si>
  <si>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</si>
  <si>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</si>
  <si>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</si>
  <si>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</si>
  <si>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</si>
  <si>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</si>
  <si>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</si>
  <si>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</si>
  <si>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</si>
  <si>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</si>
  <si>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</si>
  <si>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</si>
  <si>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</si>
  <si>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</si>
  <si>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</si>
  <si>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</si>
  <si>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</si>
  <si>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</si>
  <si>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</si>
  <si>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</si>
  <si>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</si>
  <si>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</si>
  <si>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</si>
  <si>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</si>
  <si>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</si>
  <si>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</si>
  <si>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</si>
  <si>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</si>
  <si>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</si>
  <si>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</si>
  <si>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</si>
  <si>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</si>
  <si>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</si>
  <si>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</si>
  <si>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</si>
  <si>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</si>
  <si>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</si>
  <si>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</si>
  <si>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</si>
  <si>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</si>
  <si>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</si>
  <si>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</si>
  <si>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</si>
  <si>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</si>
  <si>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</si>
  <si>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</si>
  <si>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</si>
  <si>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</si>
  <si>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</si>
  <si>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</si>
  <si>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</si>
  <si>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</si>
  <si>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</si>
  <si>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</si>
  <si>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</si>
  <si>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</si>
  <si>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</si>
  <si>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</si>
  <si>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</si>
  <si>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</si>
  <si>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</si>
  <si>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</si>
  <si>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</si>
  <si>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</si>
  <si>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</si>
  <si>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</si>
  <si>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</si>
  <si>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</si>
  <si>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</si>
  <si>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</si>
  <si>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</si>
  <si>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</si>
  <si>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</si>
  <si>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</si>
  <si>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</si>
  <si>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</si>
  <si>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</si>
  <si>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</si>
  <si>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</si>
  <si>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</si>
  <si>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</si>
  <si>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</si>
  <si>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</si>
  <si>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</si>
  <si>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</si>
  <si>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</si>
  <si>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</si>
  <si>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</si>
  <si>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</si>
  <si>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</si>
  <si>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</si>
  <si>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</si>
  <si>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</si>
  <si>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</si>
  <si>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</si>
  <si>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</si>
  <si>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</si>
  <si>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</si>
  <si>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</si>
  <si>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</si>
  <si>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</si>
  <si>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</si>
  <si>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</si>
  <si>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</si>
  <si>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</si>
  <si>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</si>
  <si>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</si>
  <si>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</si>
  <si>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</si>
  <si>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</si>
  <si>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</si>
  <si>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</si>
  <si>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</si>
  <si>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</si>
  <si>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</si>
  <si>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</si>
  <si>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</si>
  <si>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</si>
  <si>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</si>
  <si>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</si>
  <si>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</si>
  <si>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</si>
  <si>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</si>
  <si>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</si>
  <si>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</si>
  <si>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</si>
  <si>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</si>
  <si>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</si>
  <si>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</si>
  <si>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</si>
  <si>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</si>
  <si>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</si>
  <si>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</si>
  <si>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</si>
  <si>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</si>
  <si>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</si>
  <si>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</si>
  <si>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</si>
  <si>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</si>
  <si>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</si>
  <si>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</si>
  <si>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</si>
  <si>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</si>
  <si>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</si>
  <si>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</si>
  <si>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</si>
  <si>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</si>
  <si>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</si>
  <si>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</si>
  <si>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</si>
  <si>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</si>
  <si>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</si>
  <si>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</si>
  <si>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</si>
  <si>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</si>
  <si>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</si>
  <si>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</si>
  <si>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</si>
  <si>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</si>
  <si>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</si>
  <si>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</si>
  <si>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</si>
  <si>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</si>
  <si>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</si>
  <si>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</si>
  <si>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</si>
  <si>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</si>
  <si>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</si>
  <si>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</si>
  <si>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</si>
  <si>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</si>
  <si>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</si>
  <si>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</si>
  <si>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</si>
  <si>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</si>
  <si>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</si>
  <si>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</si>
  <si>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</si>
  <si>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</si>
  <si>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</si>
  <si>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</si>
  <si>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</si>
  <si>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</si>
  <si>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</si>
  <si>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</si>
  <si>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</si>
  <si>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</si>
  <si>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</si>
  <si>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</si>
  <si>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</si>
  <si>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</si>
  <si>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</si>
  <si>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</si>
  <si>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</si>
  <si>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</si>
  <si>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</si>
  <si>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</si>
  <si>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</si>
  <si>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</si>
  <si>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</si>
  <si>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</si>
  <si>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</si>
  <si>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</si>
  <si>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</si>
  <si>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</si>
  <si>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</si>
  <si>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</si>
  <si>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</si>
  <si>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</si>
  <si>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</si>
  <si>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</si>
  <si>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</si>
  <si>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</si>
  <si>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</si>
  <si>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</si>
  <si>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</si>
  <si>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</si>
  <si>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</si>
  <si>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</si>
  <si>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</si>
  <si>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</si>
  <si>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</si>
  <si>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</si>
  <si>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</si>
  <si>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</si>
  <si>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</si>
  <si>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</si>
  <si>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</si>
  <si>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</si>
  <si>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</si>
  <si>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</si>
  <si>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</si>
  <si>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</si>
  <si>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</si>
  <si>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</si>
  <si>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</si>
  <si>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</si>
  <si>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</si>
  <si>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</si>
  <si>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</si>
  <si>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</si>
  <si>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</si>
  <si>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</si>
  <si>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</si>
  <si>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</si>
  <si>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</si>
  <si>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</si>
  <si>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</si>
  <si>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</si>
  <si>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</si>
  <si>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</si>
  <si>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</si>
  <si>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</si>
  <si>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</si>
  <si>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</si>
  <si>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</si>
  <si>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</si>
  <si>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</si>
  <si>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</si>
  <si>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</si>
  <si>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</si>
  <si>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</si>
  <si>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</si>
  <si>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</si>
  <si>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</si>
  <si>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</si>
  <si>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</si>
  <si>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</si>
  <si>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</si>
  <si>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</si>
  <si>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</si>
  <si>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</si>
  <si>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</si>
  <si>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</si>
  <si>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</si>
  <si>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</si>
  <si>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</si>
  <si>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</si>
  <si>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</si>
  <si>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</si>
  <si>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</si>
  <si>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</si>
  <si>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</si>
  <si>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</si>
  <si>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</si>
  <si>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</si>
  <si>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</si>
  <si>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</si>
  <si>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</si>
  <si>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</si>
  <si>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</si>
  <si>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</si>
  <si>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</si>
  <si>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</si>
  <si>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</si>
  <si>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</si>
  <si>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</si>
  <si>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</si>
  <si>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</si>
  <si>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</si>
  <si>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</si>
  <si>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</si>
  <si>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</si>
  <si>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</si>
  <si>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</si>
  <si>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</si>
  <si>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</si>
  <si>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</si>
  <si>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</si>
  <si>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</si>
  <si>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</si>
  <si>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</si>
  <si>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</si>
  <si>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</si>
  <si>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</si>
  <si>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</si>
  <si>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</si>
  <si>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</si>
  <si>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</si>
  <si>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</si>
  <si>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</si>
  <si>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</si>
  <si>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</si>
  <si>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</si>
  <si>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</si>
  <si>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</si>
  <si>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</si>
  <si>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</si>
  <si>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</si>
  <si>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</si>
  <si>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</si>
  <si>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</si>
  <si>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</si>
  <si>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</si>
  <si>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</si>
  <si>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</si>
  <si>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</si>
  <si>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</si>
  <si>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</si>
  <si>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</si>
  <si>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</si>
  <si>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</si>
  <si>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</si>
  <si>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</si>
  <si>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</si>
  <si>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</si>
  <si>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</si>
  <si>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</si>
  <si>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</si>
  <si>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</si>
  <si>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</si>
  <si>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</si>
  <si>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</si>
  <si>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</si>
  <si>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</si>
  <si>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</si>
  <si>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</si>
  <si>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</si>
  <si>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</si>
  <si>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</si>
  <si>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</si>
  <si>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</si>
  <si>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</si>
  <si>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</si>
  <si>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</si>
  <si>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</si>
  <si>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</si>
  <si>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</si>
  <si>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</si>
  <si>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</si>
  <si>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</si>
  <si>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</si>
  <si>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</si>
  <si>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</si>
  <si>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</si>
  <si>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</si>
  <si>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</si>
  <si>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</si>
  <si>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</si>
  <si>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</si>
  <si>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</si>
  <si>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</si>
  <si>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</si>
  <si>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</si>
  <si>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</si>
  <si>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</si>
  <si>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</si>
  <si>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</si>
  <si>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</si>
  <si>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</si>
  <si>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</si>
  <si>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</si>
  <si>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</si>
  <si>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</si>
  <si>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</si>
  <si>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</si>
  <si>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</si>
  <si>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</si>
  <si>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</si>
  <si>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</si>
  <si>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</si>
  <si>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</si>
  <si>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</si>
  <si>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</si>
  <si>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</si>
  <si>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</si>
  <si>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</si>
  <si>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</si>
  <si>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</si>
  <si>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</si>
  <si>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</si>
  <si>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</si>
  <si>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</si>
  <si>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</si>
  <si>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</si>
  <si>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</si>
  <si>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</si>
  <si>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</si>
  <si>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</si>
  <si>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</si>
  <si>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</si>
  <si>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</si>
  <si>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</si>
  <si>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</si>
  <si>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</si>
  <si>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</si>
  <si>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</si>
  <si>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</si>
  <si>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</si>
  <si>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</si>
  <si>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</si>
  <si>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</si>
  <si>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</si>
  <si>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</si>
  <si>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</si>
  <si>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</si>
  <si>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</si>
  <si>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</si>
  <si>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</si>
  <si>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</si>
  <si>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</si>
  <si>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</si>
  <si>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</si>
  <si>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</si>
  <si>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</si>
  <si>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</si>
  <si>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</si>
  <si>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</si>
  <si>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</si>
  <si>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</si>
  <si>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</si>
  <si>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</si>
  <si>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</si>
  <si>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</si>
  <si>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</si>
  <si>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</si>
  <si>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</si>
  <si>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</si>
  <si>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</si>
  <si>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</si>
  <si>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</si>
  <si>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</si>
  <si>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</si>
  <si>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</si>
  <si>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</si>
  <si>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</si>
  <si>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</si>
  <si>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</si>
  <si>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</si>
  <si>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</si>
  <si>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</si>
  <si>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</si>
  <si>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</si>
  <si>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</si>
  <si>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</si>
  <si>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</si>
  <si>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</si>
  <si>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</si>
  <si>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</si>
  <si>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</si>
  <si>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</si>
  <si>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</si>
  <si>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</si>
  <si>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</si>
  <si>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</si>
  <si>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</si>
  <si>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</si>
  <si>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</si>
  <si>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</si>
  <si>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</si>
  <si>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</si>
  <si>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</si>
  <si>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</si>
  <si>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</si>
  <si>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</si>
  <si>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</si>
  <si>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</si>
  <si>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</si>
  <si>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</si>
  <si>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</si>
  <si>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</si>
  <si>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</si>
  <si>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</si>
  <si>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</si>
  <si>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</si>
  <si>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</si>
  <si>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</si>
  <si>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</si>
  <si>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</si>
  <si>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</si>
  <si>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</si>
  <si>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</si>
  <si>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</si>
  <si>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</si>
  <si>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</si>
  <si>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</si>
  <si>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</si>
  <si>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</si>
  <si>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</si>
  <si>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</si>
  <si>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</si>
  <si>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</si>
  <si>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</si>
  <si>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</si>
  <si>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</si>
  <si>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</si>
  <si>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</si>
  <si>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</si>
  <si>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</si>
  <si>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</si>
  <si>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</si>
  <si>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</si>
  <si>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</si>
  <si>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</si>
  <si>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</si>
  <si>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</si>
  <si>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</si>
  <si>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</si>
  <si>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</si>
  <si>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</si>
  <si>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</si>
  <si>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</si>
  <si>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</si>
  <si>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</si>
  <si>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</si>
  <si>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</si>
  <si>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</si>
  <si>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</si>
  <si>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</si>
  <si>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2019</t>
  </si>
  <si>
    <t>2020</t>
  </si>
  <si>
    <t>2021</t>
  </si>
  <si>
    <t>2022</t>
  </si>
  <si>
    <t>Jan</t>
  </si>
  <si>
    <t>Feb</t>
  </si>
  <si>
    <t>Mar</t>
  </si>
  <si>
    <t>Apr</t>
  </si>
  <si>
    <t>May</t>
  </si>
  <si>
    <t>Jun</t>
  </si>
  <si>
    <t>Jul</t>
  </si>
  <si>
    <t>Aug</t>
  </si>
  <si>
    <t>Sep</t>
  </si>
  <si>
    <t>Oct</t>
  </si>
  <si>
    <t>Nov</t>
  </si>
  <si>
    <t>Dec</t>
  </si>
  <si>
    <t>Years (Order Date)</t>
  </si>
  <si>
    <t>Months (Order Date)</t>
  </si>
  <si>
    <t>2019 Total</t>
  </si>
  <si>
    <t>2020 Total</t>
  </si>
  <si>
    <t>2021 Total</t>
  </si>
  <si>
    <t>2022 Total</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</si>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</sst>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6" formatCode="dd\-mmm\-yyyy"/>
    <numFmt numFmtId="167" formatCode="0.0\ &quot;kg&quot;"/>
    <numFmt numFmtId="168" formatCode="[$$-409]#,##0.0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168" fontId="0" fillId="0" borderId="0" xfId="0" applyNumberFormat="1"/>
    <xf numFmtId="0" fontId="0" fillId="0" borderId="0" xfId="0" pivotButton="1"/>
    <xf numFmtId="3" fontId="0" fillId="0" borderId="0" xfId="0" applyNumberFormat="1"/>
  </cellXfs>
  <cellStyles count="1">
    <cellStyle name="Normal" xfId="0" builtinId="0"/>
  </cellStyles>
  <dxfs count="12">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409]#,##0.00"/>
    </dxf>
    <dxf>
      <numFmt numFmtId="168" formatCode="[$$-409]#,##0.00"/>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colors>
    <mruColors>
      <color rgb="FFD59EDD"/>
      <color rgb="FFCD89C4"/>
      <color rgb="FFF9BBFE"/>
      <color rgb="FF9420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Dashboard.xlsx]Country Bar Chart!PivotTable1</c:name>
    <c:fmtId val="1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bg1"/>
            </a:solid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19050">
            <a:solidFill>
              <a:schemeClr val="bg1"/>
            </a:solidFill>
          </a:ln>
          <a:effectLst/>
        </c:spPr>
      </c:pivotFmt>
      <c:pivotFmt>
        <c:idx val="2"/>
        <c:spPr>
          <a:solidFill>
            <a:schemeClr val="accent1">
              <a:lumMod val="60000"/>
              <a:lumOff val="40000"/>
            </a:schemeClr>
          </a:solidFill>
          <a:ln w="19050">
            <a:solidFill>
              <a:schemeClr val="bg1"/>
            </a:solidFill>
          </a:ln>
          <a:effectLst/>
        </c:spPr>
      </c:pivotFmt>
      <c:pivotFmt>
        <c:idx val="3"/>
        <c:spPr>
          <a:solidFill>
            <a:schemeClr val="accent1"/>
          </a:solidFill>
          <a:ln w="19050">
            <a:solidFill>
              <a:schemeClr val="bg1"/>
            </a:solid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w="19050">
            <a:solidFill>
              <a:schemeClr val="bg1"/>
            </a:solidFill>
          </a:ln>
          <a:effectLst/>
        </c:spPr>
      </c:pivotFmt>
      <c:pivotFmt>
        <c:idx val="5"/>
        <c:spPr>
          <a:solidFill>
            <a:schemeClr val="accent1">
              <a:lumMod val="75000"/>
            </a:schemeClr>
          </a:solidFill>
          <a:ln w="19050">
            <a:solidFill>
              <a:schemeClr val="bg1"/>
            </a:solidFill>
          </a:ln>
          <a:effectLst/>
        </c:spPr>
      </c:pivotFmt>
      <c:pivotFmt>
        <c:idx val="6"/>
        <c:spPr>
          <a:solidFill>
            <a:schemeClr val="accent1"/>
          </a:solidFill>
          <a:ln w="19050">
            <a:solidFill>
              <a:schemeClr val="bg1"/>
            </a:solid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w="19050">
            <a:solidFill>
              <a:schemeClr val="bg1"/>
            </a:solidFill>
          </a:ln>
          <a:effectLst/>
        </c:spPr>
      </c:pivotFmt>
      <c:pivotFmt>
        <c:idx val="8"/>
        <c:spPr>
          <a:solidFill>
            <a:schemeClr val="accent1">
              <a:lumMod val="75000"/>
            </a:schemeClr>
          </a:solidFill>
          <a:ln w="19050">
            <a:solidFill>
              <a:schemeClr val="bg1"/>
            </a:solidFill>
          </a:ln>
          <a:effectLst/>
        </c:spPr>
      </c:pivotFmt>
    </c:pivotFmts>
    <c:plotArea>
      <c:layout/>
      <c:barChart>
        <c:barDir val="bar"/>
        <c:grouping val="clustered"/>
        <c:varyColors val="0"/>
        <c:ser>
          <c:idx val="0"/>
          <c:order val="0"/>
          <c:tx>
            <c:strRef>
              <c:f>'Country Bar Chart'!$B$1</c:f>
              <c:strCache>
                <c:ptCount val="1"/>
                <c:pt idx="0">
                  <c:v>Total</c:v>
                </c:pt>
              </c:strCache>
            </c:strRef>
          </c:tx>
          <c:spPr>
            <a:solidFill>
              <a:schemeClr val="accent1"/>
            </a:solidFill>
            <a:ln w="19050">
              <a:solidFill>
                <a:schemeClr val="bg1"/>
              </a:solidFill>
            </a:ln>
            <a:effectLst/>
          </c:spPr>
          <c:invertIfNegative val="0"/>
          <c:dPt>
            <c:idx val="0"/>
            <c:invertIfNegative val="0"/>
            <c:bubble3D val="0"/>
            <c:spPr>
              <a:solidFill>
                <a:schemeClr val="accent1">
                  <a:lumMod val="60000"/>
                  <a:lumOff val="40000"/>
                </a:schemeClr>
              </a:solidFill>
              <a:ln w="19050">
                <a:solidFill>
                  <a:schemeClr val="bg1"/>
                </a:solidFill>
              </a:ln>
              <a:effectLst/>
            </c:spPr>
            <c:extLst>
              <c:ext xmlns:c16="http://schemas.microsoft.com/office/drawing/2014/chart" uri="{C3380CC4-5D6E-409C-BE32-E72D297353CC}">
                <c16:uniqueId val="{00000001-2223-4D49-AC01-31C59FBDE4F2}"/>
              </c:ext>
            </c:extLst>
          </c:dPt>
          <c:dPt>
            <c:idx val="2"/>
            <c:invertIfNegative val="0"/>
            <c:bubble3D val="0"/>
            <c:spPr>
              <a:solidFill>
                <a:schemeClr val="accent1">
                  <a:lumMod val="75000"/>
                </a:schemeClr>
              </a:solidFill>
              <a:ln w="19050">
                <a:solidFill>
                  <a:schemeClr val="bg1"/>
                </a:solidFill>
              </a:ln>
              <a:effectLst/>
            </c:spPr>
            <c:extLst>
              <c:ext xmlns:c16="http://schemas.microsoft.com/office/drawing/2014/chart" uri="{C3380CC4-5D6E-409C-BE32-E72D297353CC}">
                <c16:uniqueId val="{00000003-2223-4D49-AC01-31C59FBDE4F2}"/>
              </c:ext>
            </c:extLst>
          </c:dPt>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Chart'!$A$2:$A$5</c:f>
              <c:strCache>
                <c:ptCount val="3"/>
                <c:pt idx="0">
                  <c:v>United Kingdom</c:v>
                </c:pt>
                <c:pt idx="1">
                  <c:v>Ireland</c:v>
                </c:pt>
                <c:pt idx="2">
                  <c:v>United States</c:v>
                </c:pt>
              </c:strCache>
            </c:strRef>
          </c:cat>
          <c:val>
            <c:numRef>
              <c:f>'Country Bar Chart'!$B$2:$B$5</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2223-4D49-AC01-31C59FBDE4F2}"/>
            </c:ext>
          </c:extLst>
        </c:ser>
        <c:dLbls>
          <c:showLegendKey val="0"/>
          <c:showVal val="0"/>
          <c:showCatName val="0"/>
          <c:showSerName val="0"/>
          <c:showPercent val="0"/>
          <c:showBubbleSize val="0"/>
        </c:dLbls>
        <c:gapWidth val="182"/>
        <c:axId val="1413332864"/>
        <c:axId val="1413018288"/>
      </c:barChart>
      <c:catAx>
        <c:axId val="1413332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13018288"/>
        <c:crosses val="autoZero"/>
        <c:auto val="1"/>
        <c:lblAlgn val="ctr"/>
        <c:lblOffset val="100"/>
        <c:noMultiLvlLbl val="0"/>
      </c:catAx>
      <c:valAx>
        <c:axId val="1413018288"/>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1333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25400" cap="flat" cmpd="sng" algn="ctr">
      <a:solidFill>
        <a:schemeClr val="bg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Dashboard.xlsx]Top 5 Customers!PivotTable1</c:name>
    <c:fmtId val="1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bg1"/>
            </a:solid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19050">
            <a:solidFill>
              <a:schemeClr val="bg1"/>
            </a:solidFill>
          </a:ln>
          <a:effectLst/>
        </c:spPr>
      </c:pivotFmt>
      <c:pivotFmt>
        <c:idx val="2"/>
        <c:spPr>
          <a:solidFill>
            <a:schemeClr val="accent1">
              <a:lumMod val="60000"/>
              <a:lumOff val="40000"/>
            </a:schemeClr>
          </a:solidFill>
          <a:ln w="19050">
            <a:solidFill>
              <a:schemeClr val="bg1"/>
            </a:solidFill>
          </a:ln>
          <a:effectLst/>
        </c:spPr>
      </c:pivotFmt>
      <c:pivotFmt>
        <c:idx val="3"/>
        <c:spPr>
          <a:solidFill>
            <a:schemeClr val="accent1"/>
          </a:solidFill>
          <a:ln w="19050">
            <a:solidFill>
              <a:schemeClr val="bg1"/>
            </a:solid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w="19050">
            <a:solidFill>
              <a:schemeClr val="bg1"/>
            </a:solidFill>
          </a:ln>
          <a:effectLst/>
        </c:spPr>
      </c:pivotFmt>
      <c:pivotFmt>
        <c:idx val="5"/>
        <c:spPr>
          <a:solidFill>
            <a:schemeClr val="accent1">
              <a:lumMod val="75000"/>
            </a:schemeClr>
          </a:solidFill>
          <a:ln w="19050">
            <a:solidFill>
              <a:schemeClr val="bg1"/>
            </a:solidFill>
          </a:ln>
          <a:effectLst/>
        </c:spPr>
      </c:pivotFmt>
      <c:pivotFmt>
        <c:idx val="6"/>
        <c:spPr>
          <a:solidFill>
            <a:schemeClr val="accent1"/>
          </a:solidFill>
          <a:ln w="19050">
            <a:solidFill>
              <a:schemeClr val="bg1"/>
            </a:solid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w="19050">
            <a:solidFill>
              <a:schemeClr val="bg1"/>
            </a:solidFill>
          </a:ln>
          <a:effectLst/>
        </c:spPr>
      </c:pivotFmt>
      <c:pivotFmt>
        <c:idx val="8"/>
        <c:spPr>
          <a:solidFill>
            <a:schemeClr val="accent1">
              <a:lumMod val="75000"/>
            </a:schemeClr>
          </a:solidFill>
          <a:ln w="19050">
            <a:solidFill>
              <a:schemeClr val="bg1"/>
            </a:solidFill>
          </a:ln>
          <a:effectLst/>
        </c:spPr>
      </c:pivotFmt>
      <c:pivotFmt>
        <c:idx val="9"/>
        <c:spPr>
          <a:solidFill>
            <a:schemeClr val="accent1"/>
          </a:solidFill>
          <a:ln w="19050">
            <a:solidFill>
              <a:schemeClr val="bg1"/>
            </a:solid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bg1"/>
            </a:solid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Customers'!$B$1</c:f>
              <c:strCache>
                <c:ptCount val="1"/>
                <c:pt idx="0">
                  <c:v>Total</c:v>
                </c:pt>
              </c:strCache>
            </c:strRef>
          </c:tx>
          <c:spPr>
            <a:solidFill>
              <a:schemeClr val="accent1"/>
            </a:solidFill>
            <a:ln w="19050">
              <a:solidFill>
                <a:schemeClr val="bg1"/>
              </a:solid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Customers'!$A$2:$A$7</c:f>
              <c:strCache>
                <c:ptCount val="5"/>
                <c:pt idx="0">
                  <c:v>Don Flintiff</c:v>
                </c:pt>
                <c:pt idx="1">
                  <c:v>Nealson Cuttler</c:v>
                </c:pt>
                <c:pt idx="2">
                  <c:v>Terri Farra</c:v>
                </c:pt>
                <c:pt idx="3">
                  <c:v>Brenn Dundredge</c:v>
                </c:pt>
                <c:pt idx="4">
                  <c:v>Allis Wilmore</c:v>
                </c:pt>
              </c:strCache>
            </c:strRef>
          </c:cat>
          <c:val>
            <c:numRef>
              <c:f>'Top 5 Customers'!$B$2:$B$7</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D779-0142-9A8C-104B1FA1ACF2}"/>
            </c:ext>
          </c:extLst>
        </c:ser>
        <c:dLbls>
          <c:showLegendKey val="0"/>
          <c:showVal val="0"/>
          <c:showCatName val="0"/>
          <c:showSerName val="0"/>
          <c:showPercent val="0"/>
          <c:showBubbleSize val="0"/>
        </c:dLbls>
        <c:gapWidth val="182"/>
        <c:axId val="1413332864"/>
        <c:axId val="1413018288"/>
      </c:barChart>
      <c:catAx>
        <c:axId val="1413332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13018288"/>
        <c:crosses val="autoZero"/>
        <c:auto val="1"/>
        <c:lblAlgn val="ctr"/>
        <c:lblOffset val="100"/>
        <c:noMultiLvlLbl val="0"/>
      </c:catAx>
      <c:valAx>
        <c:axId val="1413018288"/>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1333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25400" cap="flat" cmpd="sng" algn="ctr">
      <a:solidFill>
        <a:schemeClr val="bg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Dashboard.xlsx]Total Sales!PivotTable1</c:name>
    <c:fmtId val="1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GB" b="1">
                <a:solidFill>
                  <a:schemeClr val="tx1"/>
                </a:solidFill>
              </a:rPr>
              <a:t>Total Sales Over 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Sales'!$C$1:$C$2</c:f>
              <c:strCache>
                <c:ptCount val="1"/>
                <c:pt idx="0">
                  <c:v>Arabica</c:v>
                </c:pt>
              </c:strCache>
            </c:strRef>
          </c:tx>
          <c:spPr>
            <a:ln w="28575" cap="rnd">
              <a:solidFill>
                <a:srgbClr val="FFC000"/>
              </a:solidFill>
              <a:round/>
            </a:ln>
            <a:effectLst/>
          </c:spPr>
          <c:marker>
            <c:symbol val="none"/>
          </c:marker>
          <c:cat>
            <c:multiLvlStrRef>
              <c:f>'Total Sales'!$A$3:$B$51</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Sales'!$C$3:$C$51</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C60A-B44E-874E-87BB4261DBC0}"/>
            </c:ext>
          </c:extLst>
        </c:ser>
        <c:ser>
          <c:idx val="1"/>
          <c:order val="1"/>
          <c:tx>
            <c:strRef>
              <c:f>'Total Sales'!$D$1:$D$2</c:f>
              <c:strCache>
                <c:ptCount val="1"/>
                <c:pt idx="0">
                  <c:v>Excelsa</c:v>
                </c:pt>
              </c:strCache>
            </c:strRef>
          </c:tx>
          <c:spPr>
            <a:ln w="28575" cap="rnd">
              <a:solidFill>
                <a:schemeClr val="accent2">
                  <a:lumMod val="75000"/>
                </a:schemeClr>
              </a:solidFill>
              <a:round/>
            </a:ln>
            <a:effectLst/>
          </c:spPr>
          <c:marker>
            <c:symbol val="none"/>
          </c:marker>
          <c:cat>
            <c:multiLvlStrRef>
              <c:f>'Total Sales'!$A$3:$B$51</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Sales'!$D$3:$D$51</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C60A-B44E-874E-87BB4261DBC0}"/>
            </c:ext>
          </c:extLst>
        </c:ser>
        <c:ser>
          <c:idx val="2"/>
          <c:order val="2"/>
          <c:tx>
            <c:strRef>
              <c:f>'Total Sales'!$E$1:$E$2</c:f>
              <c:strCache>
                <c:ptCount val="1"/>
                <c:pt idx="0">
                  <c:v>Liberica</c:v>
                </c:pt>
              </c:strCache>
            </c:strRef>
          </c:tx>
          <c:spPr>
            <a:ln w="28575" cap="rnd">
              <a:solidFill>
                <a:schemeClr val="accent6">
                  <a:lumMod val="75000"/>
                </a:schemeClr>
              </a:solidFill>
              <a:round/>
            </a:ln>
            <a:effectLst/>
          </c:spPr>
          <c:marker>
            <c:symbol val="none"/>
          </c:marker>
          <c:cat>
            <c:multiLvlStrRef>
              <c:f>'Total Sales'!$A$3:$B$51</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Sales'!$E$3:$E$51</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C60A-B44E-874E-87BB4261DBC0}"/>
            </c:ext>
          </c:extLst>
        </c:ser>
        <c:ser>
          <c:idx val="3"/>
          <c:order val="3"/>
          <c:tx>
            <c:strRef>
              <c:f>'Total Sales'!$F$1:$F$2</c:f>
              <c:strCache>
                <c:ptCount val="1"/>
                <c:pt idx="0">
                  <c:v>Robusta</c:v>
                </c:pt>
              </c:strCache>
            </c:strRef>
          </c:tx>
          <c:spPr>
            <a:ln w="28575" cap="rnd">
              <a:solidFill>
                <a:srgbClr val="0070C0"/>
              </a:solidFill>
              <a:round/>
            </a:ln>
            <a:effectLst/>
          </c:spPr>
          <c:marker>
            <c:symbol val="none"/>
          </c:marker>
          <c:cat>
            <c:multiLvlStrRef>
              <c:f>'Total Sales'!$A$3:$B$51</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Sales'!$F$3:$F$51</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C60A-B44E-874E-87BB4261DBC0}"/>
            </c:ext>
          </c:extLst>
        </c:ser>
        <c:dLbls>
          <c:showLegendKey val="0"/>
          <c:showVal val="0"/>
          <c:showCatName val="0"/>
          <c:showSerName val="0"/>
          <c:showPercent val="0"/>
          <c:showBubbleSize val="0"/>
        </c:dLbls>
        <c:smooth val="0"/>
        <c:axId val="132796160"/>
        <c:axId val="132797872"/>
      </c:lineChart>
      <c:catAx>
        <c:axId val="13279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2797872"/>
        <c:crosses val="autoZero"/>
        <c:auto val="1"/>
        <c:lblAlgn val="ctr"/>
        <c:lblOffset val="100"/>
        <c:noMultiLvlLbl val="0"/>
      </c:catAx>
      <c:valAx>
        <c:axId val="132797872"/>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32796160"/>
        <c:crosses val="autoZero"/>
        <c:crossBetween val="between"/>
      </c:valAx>
      <c:spPr>
        <a:noFill/>
        <a:ln>
          <a:noFill/>
        </a:ln>
        <a:effectLst/>
      </c:spPr>
    </c:plotArea>
    <c:legend>
      <c:legendPos val="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2540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76200</xdr:colOff>
      <xdr:row>1</xdr:row>
      <xdr:rowOff>12700</xdr:rowOff>
    </xdr:from>
    <xdr:to>
      <xdr:col>16</xdr:col>
      <xdr:colOff>342900</xdr:colOff>
      <xdr:row>44</xdr:row>
      <xdr:rowOff>12700</xdr:rowOff>
    </xdr:to>
    <xdr:sp macro="" textlink="">
      <xdr:nvSpPr>
        <xdr:cNvPr id="18" name="Rectangle 17">
          <a:extLst>
            <a:ext uri="{FF2B5EF4-FFF2-40B4-BE49-F238E27FC236}">
              <a16:creationId xmlns:a16="http://schemas.microsoft.com/office/drawing/2014/main" id="{93EA92F8-301D-4BC2-748B-B62E916D39DF}"/>
            </a:ext>
          </a:extLst>
        </xdr:cNvPr>
        <xdr:cNvSpPr/>
      </xdr:nvSpPr>
      <xdr:spPr>
        <a:xfrm>
          <a:off x="76200" y="76200"/>
          <a:ext cx="12788900" cy="8191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800" b="1" i="1">
              <a:solidFill>
                <a:schemeClr val="bg1"/>
              </a:solidFill>
            </a:rPr>
            <a:t>COFFEE SALES DASHBOARD</a:t>
          </a:r>
        </a:p>
      </xdr:txBody>
    </xdr:sp>
    <xdr:clientData/>
  </xdr:twoCellAnchor>
  <xdr:twoCellAnchor editAs="oneCell">
    <xdr:from>
      <xdr:col>1</xdr:col>
      <xdr:colOff>38100</xdr:colOff>
      <xdr:row>3</xdr:row>
      <xdr:rowOff>152400</xdr:rowOff>
    </xdr:from>
    <xdr:to>
      <xdr:col>11</xdr:col>
      <xdr:colOff>12700</xdr:colOff>
      <xdr:row>13</xdr:row>
      <xdr:rowOff>127000</xdr:rowOff>
    </xdr:to>
    <mc:AlternateContent xmlns:mc="http://schemas.openxmlformats.org/markup-compatibility/2006">
      <mc:Choice xmlns:tsle="http://schemas.microsoft.com/office/drawing/2012/timeslicer" Requires="tsle">
        <xdr:graphicFrame macro="">
          <xdr:nvGraphicFramePr>
            <xdr:cNvPr id="6" name="Order Date">
              <a:extLst>
                <a:ext uri="{FF2B5EF4-FFF2-40B4-BE49-F238E27FC236}">
                  <a16:creationId xmlns:a16="http://schemas.microsoft.com/office/drawing/2014/main" id="{81A07C77-6FC3-524F-95BA-65668911162B}"/>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77800" y="596900"/>
              <a:ext cx="8229600" cy="1879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11</xdr:col>
      <xdr:colOff>101600</xdr:colOff>
      <xdr:row>8</xdr:row>
      <xdr:rowOff>139701</xdr:rowOff>
    </xdr:from>
    <xdr:to>
      <xdr:col>13</xdr:col>
      <xdr:colOff>533400</xdr:colOff>
      <xdr:row>13</xdr:row>
      <xdr:rowOff>139700</xdr:rowOff>
    </xdr:to>
    <mc:AlternateContent xmlns:mc="http://schemas.openxmlformats.org/markup-compatibility/2006">
      <mc:Choice xmlns:a14="http://schemas.microsoft.com/office/drawing/2010/main" Requires="a14">
        <xdr:graphicFrame macro="">
          <xdr:nvGraphicFramePr>
            <xdr:cNvPr id="7" name="Size">
              <a:extLst>
                <a:ext uri="{FF2B5EF4-FFF2-40B4-BE49-F238E27FC236}">
                  <a16:creationId xmlns:a16="http://schemas.microsoft.com/office/drawing/2014/main" id="{39D2A20E-D9AD-D743-98B1-987B594152FF}"/>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8496300" y="1536701"/>
              <a:ext cx="2082800" cy="9524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88900</xdr:colOff>
      <xdr:row>3</xdr:row>
      <xdr:rowOff>165101</xdr:rowOff>
    </xdr:from>
    <xdr:to>
      <xdr:col>16</xdr:col>
      <xdr:colOff>215900</xdr:colOff>
      <xdr:row>8</xdr:row>
      <xdr:rowOff>50800</xdr:rowOff>
    </xdr:to>
    <mc:AlternateContent xmlns:mc="http://schemas.openxmlformats.org/markup-compatibility/2006">
      <mc:Choice xmlns:a14="http://schemas.microsoft.com/office/drawing/2010/main" Requires="a14">
        <xdr:graphicFrame macro="">
          <xdr:nvGraphicFramePr>
            <xdr:cNvPr id="8" name="Roast Type Name">
              <a:extLst>
                <a:ext uri="{FF2B5EF4-FFF2-40B4-BE49-F238E27FC236}">
                  <a16:creationId xmlns:a16="http://schemas.microsoft.com/office/drawing/2014/main" id="{0A73BB76-D2E8-BF46-956B-3297C6329871}"/>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8483600" y="609601"/>
              <a:ext cx="4254500" cy="8381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571499</xdr:colOff>
      <xdr:row>8</xdr:row>
      <xdr:rowOff>139700</xdr:rowOff>
    </xdr:from>
    <xdr:to>
      <xdr:col>16</xdr:col>
      <xdr:colOff>215900</xdr:colOff>
      <xdr:row>13</xdr:row>
      <xdr:rowOff>139699</xdr:rowOff>
    </xdr:to>
    <mc:AlternateContent xmlns:mc="http://schemas.openxmlformats.org/markup-compatibility/2006">
      <mc:Choice xmlns:a14="http://schemas.microsoft.com/office/drawing/2010/main" Requires="a14">
        <xdr:graphicFrame macro="">
          <xdr:nvGraphicFramePr>
            <xdr:cNvPr id="9" name="Loyalty Card">
              <a:extLst>
                <a:ext uri="{FF2B5EF4-FFF2-40B4-BE49-F238E27FC236}">
                  <a16:creationId xmlns:a16="http://schemas.microsoft.com/office/drawing/2014/main" id="{B8C3A8DD-3559-CB4D-91DD-1262912EF968}"/>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0617199" y="1536700"/>
              <a:ext cx="2120901" cy="9524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62900</xdr:colOff>
      <xdr:row>14</xdr:row>
      <xdr:rowOff>12700</xdr:rowOff>
    </xdr:from>
    <xdr:to>
      <xdr:col>16</xdr:col>
      <xdr:colOff>215900</xdr:colOff>
      <xdr:row>26</xdr:row>
      <xdr:rowOff>165100</xdr:rowOff>
    </xdr:to>
    <xdr:graphicFrame macro="">
      <xdr:nvGraphicFramePr>
        <xdr:cNvPr id="10" name="Chart 9">
          <a:extLst>
            <a:ext uri="{FF2B5EF4-FFF2-40B4-BE49-F238E27FC236}">
              <a16:creationId xmlns:a16="http://schemas.microsoft.com/office/drawing/2014/main" id="{01E0EC20-A3A2-6F4A-B02E-402C97666F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63500</xdr:colOff>
      <xdr:row>27</xdr:row>
      <xdr:rowOff>63500</xdr:rowOff>
    </xdr:from>
    <xdr:to>
      <xdr:col>16</xdr:col>
      <xdr:colOff>228600</xdr:colOff>
      <xdr:row>43</xdr:row>
      <xdr:rowOff>101600</xdr:rowOff>
    </xdr:to>
    <xdr:graphicFrame macro="">
      <xdr:nvGraphicFramePr>
        <xdr:cNvPr id="11" name="Chart 10">
          <a:extLst>
            <a:ext uri="{FF2B5EF4-FFF2-40B4-BE49-F238E27FC236}">
              <a16:creationId xmlns:a16="http://schemas.microsoft.com/office/drawing/2014/main" id="{8F11B434-786E-3348-86B6-F03397800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63500</xdr:colOff>
      <xdr:row>14</xdr:row>
      <xdr:rowOff>12700</xdr:rowOff>
    </xdr:from>
    <xdr:to>
      <xdr:col>9</xdr:col>
      <xdr:colOff>800100</xdr:colOff>
      <xdr:row>43</xdr:row>
      <xdr:rowOff>101600</xdr:rowOff>
    </xdr:to>
    <xdr:graphicFrame macro="">
      <xdr:nvGraphicFramePr>
        <xdr:cNvPr id="14" name="Chart 13">
          <a:extLst>
            <a:ext uri="{FF2B5EF4-FFF2-40B4-BE49-F238E27FC236}">
              <a16:creationId xmlns:a16="http://schemas.microsoft.com/office/drawing/2014/main" id="{C0AB4445-D189-D381-8493-1E23E5B4AB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74.714170833337" createdVersion="8" refreshedVersion="8" minRefreshableVersion="3" recordCount="1000" xr:uid="{3CF901C8-D851-624F-A9ED-2CAEDBC33671}">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997743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e v="#N/A"/>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e v="#N/A"/>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e v="#N/A"/>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e v="#N/A"/>
    <x v="0"/>
    <s v="Lib"/>
    <s v="D"/>
    <x v="2"/>
    <n v="29.784999999999997"/>
    <n v="89.35499999999999"/>
    <x v="3"/>
    <x v="2"/>
    <x v="1"/>
  </r>
  <r>
    <s v="NOP-21394-646"/>
    <x v="170"/>
    <s v="16982-35708-BZ"/>
    <s v="L-L-0.5"/>
    <n v="4"/>
    <x v="185"/>
    <e v="#N/A"/>
    <x v="0"/>
    <s v="Lib"/>
    <s v="L"/>
    <x v="1"/>
    <n v="9.51"/>
    <n v="38.04"/>
    <x v="3"/>
    <x v="1"/>
    <x v="1"/>
  </r>
  <r>
    <s v="NOP-21394-646"/>
    <x v="170"/>
    <s v="16982-35708-BZ"/>
    <s v="E-M-1"/>
    <n v="3"/>
    <x v="185"/>
    <e v="#N/A"/>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e v="#N/A"/>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e v="#N/A"/>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e v="#N/A"/>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e v="#N/A"/>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e v="#N/A"/>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e v="#N/A"/>
    <x v="0"/>
    <s v="Lib"/>
    <s v="D"/>
    <x v="1"/>
    <n v="7.77"/>
    <n v="31.08"/>
    <x v="3"/>
    <x v="2"/>
    <x v="1"/>
  </r>
  <r>
    <s v="WNR-71736-993"/>
    <x v="350"/>
    <s v="16880-78077-FB"/>
    <s v="A-D-2.5"/>
    <n v="6"/>
    <x v="347"/>
    <e v="#N/A"/>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e v="#N/A"/>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e v="#N/A"/>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e v="#N/A"/>
    <x v="2"/>
    <s v="Lib"/>
    <s v="D"/>
    <x v="0"/>
    <n v="12.95"/>
    <n v="51.8"/>
    <x v="3"/>
    <x v="2"/>
    <x v="1"/>
  </r>
  <r>
    <s v="CTE-31437-326"/>
    <x v="6"/>
    <s v="22721-63196-UJ"/>
    <s v="L-L-0.2"/>
    <n v="3"/>
    <x v="467"/>
    <e v="#N/A"/>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e v="#N/A"/>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e v="#N/A"/>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e v="#N/A"/>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e v="#N/A"/>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e v="#N/A"/>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e v="#N/A"/>
    <x v="1"/>
    <s v="Ara"/>
    <s v="D"/>
    <x v="3"/>
    <n v="2.9849999999999999"/>
    <n v="2.9849999999999999"/>
    <x v="2"/>
    <x v="2"/>
    <x v="0"/>
  </r>
  <r>
    <s v="PKN-19556-918"/>
    <x v="483"/>
    <s v="00445-42781-KX"/>
    <s v="R-D-2.5"/>
    <n v="5"/>
    <x v="579"/>
    <e v="#N/A"/>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e v="#N/A"/>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e v="#N/A"/>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e v="#N/A"/>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e v="#N/A"/>
    <x v="0"/>
    <s v="Ara"/>
    <s v="L"/>
    <x v="2"/>
    <n v="29.784999999999997"/>
    <n v="89.35499999999999"/>
    <x v="2"/>
    <x v="1"/>
    <x v="1"/>
  </r>
  <r>
    <s v="CVE-15042-481"/>
    <x v="575"/>
    <s v="24972-55878-KX"/>
    <s v="R-L-1"/>
    <n v="2"/>
    <x v="696"/>
    <e v="#N/A"/>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e v="#N/A"/>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e v="#N/A"/>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e v="#N/A"/>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e v="#N/A"/>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e v="#N/A"/>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e v="#N/A"/>
    <x v="0"/>
    <s v="Ara"/>
    <s v="L"/>
    <x v="3"/>
    <n v="3.8849999999999998"/>
    <n v="3.8849999999999998"/>
    <x v="2"/>
    <x v="1"/>
    <x v="0"/>
  </r>
  <r>
    <s v="HEL-86709-449"/>
    <x v="667"/>
    <s v="86579-92122-OC"/>
    <s v="E-D-2.5"/>
    <n v="1"/>
    <x v="857"/>
    <e v="#N/A"/>
    <x v="0"/>
    <s v="Exc"/>
    <s v="D"/>
    <x v="2"/>
    <n v="27.945"/>
    <n v="27.945"/>
    <x v="1"/>
    <x v="2"/>
    <x v="0"/>
  </r>
  <r>
    <s v="NCH-55389-562"/>
    <x v="110"/>
    <s v="86579-92122-OC"/>
    <s v="E-L-2.5"/>
    <n v="5"/>
    <x v="857"/>
    <e v="#N/A"/>
    <x v="0"/>
    <s v="Exc"/>
    <s v="L"/>
    <x v="2"/>
    <n v="34.154999999999994"/>
    <n v="170.77499999999998"/>
    <x v="1"/>
    <x v="1"/>
    <x v="0"/>
  </r>
  <r>
    <s v="NCH-55389-562"/>
    <x v="110"/>
    <s v="86579-92122-OC"/>
    <s v="R-L-2.5"/>
    <n v="2"/>
    <x v="857"/>
    <e v="#N/A"/>
    <x v="0"/>
    <s v="Rob"/>
    <s v="L"/>
    <x v="2"/>
    <n v="27.484999999999996"/>
    <n v="54.969999999999992"/>
    <x v="0"/>
    <x v="1"/>
    <x v="0"/>
  </r>
  <r>
    <s v="NCH-55389-562"/>
    <x v="110"/>
    <s v="86579-92122-OC"/>
    <s v="E-L-1"/>
    <n v="1"/>
    <x v="857"/>
    <e v="#N/A"/>
    <x v="0"/>
    <s v="Exc"/>
    <s v="L"/>
    <x v="0"/>
    <n v="14.85"/>
    <n v="14.85"/>
    <x v="1"/>
    <x v="1"/>
    <x v="0"/>
  </r>
  <r>
    <s v="NCH-55389-562"/>
    <x v="110"/>
    <s v="86579-92122-OC"/>
    <s v="A-L-0.2"/>
    <n v="2"/>
    <x v="857"/>
    <e v="#N/A"/>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e v="#N/A"/>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09EEC9-0EDB-5146-9464-BD229257DEC6}" name="PivotTable1" cacheId="32" applyNumberFormats="0" applyBorderFormats="0" applyFontFormats="0" applyPatternFormats="0" applyAlignmentFormats="0" applyWidthHeightFormats="1" dataCaption="Values" updatedVersion="8" minRefreshableVersion="5" useAutoFormatting="1" colGrandTotals="0" itemPrintTitles="1" createdVersion="8" indent="0" compact="0" compactData="0" multipleFieldFilters="0" chartFormat="13">
  <location ref="A1:F51" firstHeaderRow="1" firstDataRow="2" firstDataCol="2"/>
  <pivotFields count="18">
    <pivotField compact="0" outline="0" showAll="0"/>
    <pivotField compact="0" numFmtId="166"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7" outline="0" showAll="0">
      <items count="5">
        <item x="3"/>
        <item x="1"/>
        <item x="0"/>
        <item x="2"/>
        <item t="default"/>
      </items>
    </pivotField>
    <pivotField compact="0" numFmtId="168" outline="0" showAll="0"/>
    <pivotField dataField="1" compact="0" numFmtId="168" outline="0" showAll="0"/>
    <pivotField axis="axisCol"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7"/>
    <field x="16"/>
  </rowFields>
  <rowItems count="49">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i t="grand">
      <x/>
    </i>
  </rowItems>
  <colFields count="1">
    <field x="13"/>
  </colFields>
  <colItems count="4">
    <i>
      <x/>
    </i>
    <i>
      <x v="1"/>
    </i>
    <i>
      <x v="2"/>
    </i>
    <i>
      <x v="3"/>
    </i>
  </colItems>
  <dataFields count="1">
    <dataField name="Sum of Sales" fld="12" baseField="0" baseItem="0" numFmtId="3"/>
  </dataFields>
  <chartFormats count="8">
    <chartFormat chart="6" format="9" series="1">
      <pivotArea type="data" outline="0" fieldPosition="0">
        <references count="2">
          <reference field="4294967294" count="1" selected="0">
            <x v="0"/>
          </reference>
          <reference field="13" count="1" selected="0">
            <x v="0"/>
          </reference>
        </references>
      </pivotArea>
    </chartFormat>
    <chartFormat chart="6" format="10" series="1">
      <pivotArea type="data" outline="0" fieldPosition="0">
        <references count="2">
          <reference field="4294967294" count="1" selected="0">
            <x v="0"/>
          </reference>
          <reference field="13" count="1" selected="0">
            <x v="1"/>
          </reference>
        </references>
      </pivotArea>
    </chartFormat>
    <chartFormat chart="6" format="11" series="1">
      <pivotArea type="data" outline="0" fieldPosition="0">
        <references count="2">
          <reference field="4294967294" count="1" selected="0">
            <x v="0"/>
          </reference>
          <reference field="13" count="1" selected="0">
            <x v="2"/>
          </reference>
        </references>
      </pivotArea>
    </chartFormat>
    <chartFormat chart="6" format="12" series="1">
      <pivotArea type="data" outline="0" fieldPosition="0">
        <references count="2">
          <reference field="4294967294" count="1" selected="0">
            <x v="0"/>
          </reference>
          <reference field="13" count="1" selected="0">
            <x v="3"/>
          </reference>
        </references>
      </pivotArea>
    </chartFormat>
    <chartFormat chart="12" format="17" series="1">
      <pivotArea type="data" outline="0" fieldPosition="0">
        <references count="2">
          <reference field="4294967294" count="1" selected="0">
            <x v="0"/>
          </reference>
          <reference field="13" count="1" selected="0">
            <x v="0"/>
          </reference>
        </references>
      </pivotArea>
    </chartFormat>
    <chartFormat chart="12" format="18" series="1">
      <pivotArea type="data" outline="0" fieldPosition="0">
        <references count="2">
          <reference field="4294967294" count="1" selected="0">
            <x v="0"/>
          </reference>
          <reference field="13" count="1" selected="0">
            <x v="1"/>
          </reference>
        </references>
      </pivotArea>
    </chartFormat>
    <chartFormat chart="12" format="19" series="1">
      <pivotArea type="data" outline="0" fieldPosition="0">
        <references count="2">
          <reference field="4294967294" count="1" selected="0">
            <x v="0"/>
          </reference>
          <reference field="13" count="1" selected="0">
            <x v="2"/>
          </reference>
        </references>
      </pivotArea>
    </chartFormat>
    <chartFormat chart="12" format="20"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7FA24D-1A77-554C-BF3B-0B3B376A55D2}" name="PivotTable1" cacheId="32" applyNumberFormats="0" applyBorderFormats="0" applyFontFormats="0" applyPatternFormats="0" applyAlignmentFormats="0" applyWidthHeightFormats="1" dataCaption="Values" updatedVersion="8" minRefreshableVersion="5" useAutoFormatting="1" colGrandTotals="0" itemPrintTitles="1" createdVersion="8" indent="0" compact="0" compactData="0" multipleFieldFilters="0" chartFormat="13">
  <location ref="A1:B5" firstHeaderRow="1" firstDataRow="1" firstDataCol="1"/>
  <pivotFields count="18">
    <pivotField compact="0" outline="0" showAll="0"/>
    <pivotField compact="0" numFmtId="166"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7" outline="0" showAll="0">
      <items count="5">
        <item x="3"/>
        <item x="1"/>
        <item x="0"/>
        <item x="2"/>
        <item t="default"/>
      </items>
    </pivotField>
    <pivotField compact="0" numFmtId="168" outline="0" showAll="0"/>
    <pivotField dataField="1" compact="0" numFmtId="168"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7"/>
  </rowFields>
  <rowItems count="4">
    <i>
      <x v="1"/>
    </i>
    <i>
      <x/>
    </i>
    <i>
      <x v="2"/>
    </i>
    <i t="grand">
      <x/>
    </i>
  </rowItems>
  <colItems count="1">
    <i/>
  </colItems>
  <dataFields count="1">
    <dataField name="Sum of Sales" fld="12" baseField="0" baseItem="0" numFmtId="3"/>
  </dataFields>
  <chartFormats count="6">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7" count="1" selected="0">
            <x v="1"/>
          </reference>
        </references>
      </pivotArea>
    </chartFormat>
    <chartFormat chart="9" format="8">
      <pivotArea type="data" outline="0" fieldPosition="0">
        <references count="2">
          <reference field="4294967294" count="1" selected="0">
            <x v="0"/>
          </reference>
          <reference field="7"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7" count="1" selected="0">
            <x v="1"/>
          </reference>
        </references>
      </pivotArea>
    </chartFormat>
    <chartFormat chart="11" format="8">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67E5C7-AA2B-7B48-BFAE-35AAFCC4DACD}" name="PivotTable1" cacheId="32" applyNumberFormats="0" applyBorderFormats="0" applyFontFormats="0" applyPatternFormats="0" applyAlignmentFormats="0" applyWidthHeightFormats="1" dataCaption="Values" updatedVersion="8" minRefreshableVersion="5" useAutoFormatting="1" colGrandTotals="0" itemPrintTitles="1" createdVersion="8" indent="0" compact="0" compactData="0" multipleFieldFilters="0" chartFormat="12">
  <location ref="A1:B7" firstHeaderRow="1" firstDataRow="1" firstDataCol="1"/>
  <pivotFields count="18">
    <pivotField compact="0" outline="0" showAll="0"/>
    <pivotField compact="0" numFmtId="166"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7" outline="0" showAll="0">
      <items count="5">
        <item x="3"/>
        <item x="1"/>
        <item x="0"/>
        <item x="2"/>
        <item t="default"/>
      </items>
    </pivotField>
    <pivotField compact="0" numFmtId="168" outline="0" showAll="0"/>
    <pivotField dataField="1" compact="0" numFmtId="168"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5"/>
  </rowFields>
  <rowItems count="6">
    <i>
      <x v="255"/>
    </i>
    <i>
      <x v="646"/>
    </i>
    <i>
      <x v="831"/>
    </i>
    <i>
      <x v="125"/>
    </i>
    <i>
      <x v="28"/>
    </i>
    <i t="grand">
      <x/>
    </i>
  </rowItems>
  <colItems count="1">
    <i/>
  </colItems>
  <dataFields count="1">
    <dataField name="Sum of Sales" fld="12" baseField="0" baseItem="0" numFmtId="3"/>
  </dataFields>
  <chartFormats count="3">
    <chartFormat chart="6" format="13"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DFA7B910-F8AA-2B45-A5E8-3F9AF7454E0D}" sourceName="Size">
  <pivotTables>
    <pivotTable tabId="18" name="PivotTable1"/>
    <pivotTable tabId="21" name="PivotTable1"/>
    <pivotTable tabId="22" name="PivotTable1"/>
  </pivotTables>
  <data>
    <tabular pivotCacheId="149977432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C1FB7D5B-9CB3-784E-B410-8A29CAB1B79C}" sourceName="Roast Type Name">
  <pivotTables>
    <pivotTable tabId="18" name="PivotTable1"/>
    <pivotTable tabId="21" name="PivotTable1"/>
    <pivotTable tabId="22" name="PivotTable1"/>
  </pivotTables>
  <data>
    <tabular pivotCacheId="149977432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48D708ED-C377-DF40-A5F5-F59BF1D93745}" sourceName="Loyalty Card">
  <pivotTables>
    <pivotTable tabId="18" name="PivotTable1"/>
    <pivotTable tabId="21" name="PivotTable1"/>
    <pivotTable tabId="22" name="PivotTable1"/>
  </pivotTables>
  <data>
    <tabular pivotCacheId="149977432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3937DD4C-1B70-4640-AF7C-73326578004C}" cache="Slicer_Size" caption="Size" columnCount="2" style="SlicerStyleDark5" rowHeight="230716"/>
  <slicer name="Roast Type Name" xr10:uid="{1F740282-C6D6-7542-AFBC-E6F7FFFA4762}" cache="Slicer_Roast_Type_Name" caption="Roast Type Name" columnCount="3" style="SlicerStyleDark5" rowHeight="230716"/>
  <slicer name="Loyalty Card" xr10:uid="{536B23B1-EFFB-C043-9885-9BBBA360D4F1}" cache="Slicer_Loyalty_Card" caption="Loyalty Card" style="SlicerStyleDark5"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F113D8-D0F6-6042-99A6-5F17F84E27ED}" name="Orders" displayName="Orders" ref="A1:P1001" totalsRowShown="0" headerRowDxfId="1">
  <autoFilter ref="A1:P1001" xr:uid="{6AF113D8-D0F6-6042-99A6-5F17F84E27ED}"/>
  <tableColumns count="16">
    <tableColumn id="1" xr3:uid="{DC53C6CC-4BA6-0240-9B30-BFE1C8F11136}" name="Order ID" dataDxfId="11"/>
    <tableColumn id="2" xr3:uid="{26C1B18F-C518-DF4B-8234-B7C45E5540EF}" name="Order Date" dataDxfId="10"/>
    <tableColumn id="3" xr3:uid="{624FD3A3-C8A4-D94A-89EB-2873A13096FF}" name="Customer ID" dataDxfId="9"/>
    <tableColumn id="4" xr3:uid="{C6B8A33B-FFE9-6940-9DC8-665F5F5A9034}" name="Product ID"/>
    <tableColumn id="5" xr3:uid="{9C049C2D-3603-F545-B0B4-D021A3CFE47D}" name="Quantity" dataDxfId="8"/>
    <tableColumn id="6" xr3:uid="{40F46AD6-9AC8-FC42-93ED-43813B692BC1}" name="Customer Name" dataDxfId="7">
      <calculatedColumnFormula>_xlfn.XLOOKUP(C2,customers!$A$1:$A$1001,customers!$B$1:$B$1001,,0)</calculatedColumnFormula>
    </tableColumn>
    <tableColumn id="7" xr3:uid="{D38F33B7-FC17-094B-9F79-405BCCE0EF88}" name="Email" dataDxfId="6">
      <calculatedColumnFormula array="1">IF(_xlfn.XLOOKUP(C2,customers!A1:$A$1001,customers!C1:$C$1001,,0)=0,"",_xlfn.XLOOKUP(C2,customers!A1:$A$1001,customers!C1:$C$1001,,0))</calculatedColumnFormula>
    </tableColumn>
    <tableColumn id="8" xr3:uid="{47282E8D-F26F-4C4F-A923-BEB5D14D407B}" name="Country" dataDxfId="5">
      <calculatedColumnFormula>_xlfn.XLOOKUP(C2,customers!$A$1:$A$1001,customers!$G$1:$G$1001,,0)</calculatedColumnFormula>
    </tableColumn>
    <tableColumn id="9" xr3:uid="{CBFC07D2-DD90-EA44-9FA5-525243F628FE}" name="Coffee Type">
      <calculatedColumnFormula>INDEX(products!$A$1:$G$49,MATCH(orders!$D2,products!$A$1:$A$49,0),MATCH(orders!I$1,products!$A$1:$G$1,0))</calculatedColumnFormula>
    </tableColumn>
    <tableColumn id="10" xr3:uid="{8E1045E0-C10B-3D4C-A548-1AF2F40FBEC2}" name="Roast Type">
      <calculatedColumnFormula>INDEX(products!$A$1:$G$49,MATCH(orders!$D2,products!$A$1:$A$49,0),MATCH(orders!J$1,products!$A$1:$G$1,0))</calculatedColumnFormula>
    </tableColumn>
    <tableColumn id="11" xr3:uid="{8A2F7B76-C405-554B-97CA-3F4105FBA175}" name="Size" dataDxfId="4">
      <calculatedColumnFormula>INDEX(products!$A$1:$G$49,MATCH(orders!$D2,products!$A$1:$A$49,0),MATCH(orders!K$1,products!$A$1:$G$1,0))</calculatedColumnFormula>
    </tableColumn>
    <tableColumn id="12" xr3:uid="{5FCD94E1-4670-8948-931A-115551F96B20}" name="Unit Price" dataDxfId="3">
      <calculatedColumnFormula>INDEX(products!$A$1:$G$49,MATCH(orders!$D2,products!$A$1:$A$49,0),MATCH(orders!L$1,products!$A$1:$G$1,0))</calculatedColumnFormula>
    </tableColumn>
    <tableColumn id="13" xr3:uid="{2877A877-03BD-5C4B-9C60-3C2700583A9B}" name="Sales" dataDxfId="2">
      <calculatedColumnFormula>L2*E2</calculatedColumnFormula>
    </tableColumn>
    <tableColumn id="14" xr3:uid="{8D7197CC-2632-6748-9DAD-00282F84E8B3}" name="Coffee Type Name">
      <calculatedColumnFormula>IF(I2="Rob", "Robusta", IF(I2="Exc", "Excelsa", IF(I2="Ara", "Arabica", IF(I2="Lib", "Liberica", ""))))</calculatedColumnFormula>
    </tableColumn>
    <tableColumn id="15" xr3:uid="{84D12529-70FD-214C-83C5-45970BFA3757}" name="Roast Type Name">
      <calculatedColumnFormula>IF(J2="M", "Medium", IF(J2="L", "Light", IF(J2="D", "Dark", "")))</calculatedColumnFormula>
    </tableColumn>
    <tableColumn id="16" xr3:uid="{5C9F3ADB-7C00-DE40-AEBC-190A0A11A329}"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7BDC632-4C0B-954E-BB2D-AD3F47D352F4}" sourceName="Order Date">
  <pivotTables>
    <pivotTable tabId="18" name="PivotTable1"/>
    <pivotTable tabId="21" name="PivotTable1"/>
    <pivotTable tabId="22" name="PivotTable1"/>
  </pivotTables>
  <state minimalRefreshVersion="6" lastRefreshVersion="6" pivotCacheId="149977432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F189F7D-1735-E747-A8A2-3AC7933E6B44}" cache="NativeTimeline_Order_Date" caption="Order Date" level="2" selectionLevel="2" scrollPosition="2020-06-08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36F66-1CFE-0348-A374-A736DE73BD4D}">
  <dimension ref="A1"/>
  <sheetViews>
    <sheetView showGridLines="0" tabSelected="1" zoomScaleNormal="100" workbookViewId="0">
      <selection activeCell="T37" sqref="T37"/>
    </sheetView>
  </sheetViews>
  <sheetFormatPr baseColWidth="10" defaultRowHeight="15" x14ac:dyDescent="0.2"/>
  <cols>
    <col min="1" max="1" width="1.83203125" customWidth="1"/>
  </cols>
  <sheetData>
    <row r="1" ht="5" customHeight="1" x14ac:dyDescent="0.2"/>
  </sheetData>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9D921-D7C1-874C-A5DF-04DBE122F1B5}">
  <dimension ref="A1:F51"/>
  <sheetViews>
    <sheetView topLeftCell="G1" workbookViewId="0">
      <selection activeCell="L47" sqref="L47"/>
    </sheetView>
  </sheetViews>
  <sheetFormatPr baseColWidth="10" defaultRowHeight="15" x14ac:dyDescent="0.2"/>
  <cols>
    <col min="1" max="1" width="12.1640625" bestFit="1" customWidth="1"/>
    <col min="2" max="2" width="19.6640625" bestFit="1" customWidth="1"/>
    <col min="3" max="3" width="17.5" bestFit="1" customWidth="1"/>
    <col min="4" max="4" width="6.6640625" bestFit="1" customWidth="1"/>
    <col min="5" max="6" width="7.33203125" bestFit="1" customWidth="1"/>
    <col min="7" max="7" width="10" bestFit="1" customWidth="1"/>
  </cols>
  <sheetData>
    <row r="1" spans="1:6" x14ac:dyDescent="0.2">
      <c r="A1" s="6" t="s">
        <v>6225</v>
      </c>
      <c r="C1" s="6" t="s">
        <v>6196</v>
      </c>
    </row>
    <row r="2" spans="1:6" x14ac:dyDescent="0.2">
      <c r="A2" s="6" t="s">
        <v>6215</v>
      </c>
      <c r="B2" s="6" t="s">
        <v>6216</v>
      </c>
      <c r="C2" t="s">
        <v>6221</v>
      </c>
      <c r="D2" t="s">
        <v>6222</v>
      </c>
      <c r="E2" t="s">
        <v>6223</v>
      </c>
      <c r="F2" t="s">
        <v>6224</v>
      </c>
    </row>
    <row r="3" spans="1:6" x14ac:dyDescent="0.2">
      <c r="A3" t="s">
        <v>6199</v>
      </c>
      <c r="B3" t="s">
        <v>6203</v>
      </c>
      <c r="C3" s="7">
        <v>186.85499999999999</v>
      </c>
      <c r="D3" s="7">
        <v>305.97000000000003</v>
      </c>
      <c r="E3" s="7">
        <v>213.15999999999997</v>
      </c>
      <c r="F3" s="7">
        <v>123</v>
      </c>
    </row>
    <row r="4" spans="1:6" x14ac:dyDescent="0.2">
      <c r="B4" t="s">
        <v>6204</v>
      </c>
      <c r="C4" s="7">
        <v>251.96499999999997</v>
      </c>
      <c r="D4" s="7">
        <v>129.46</v>
      </c>
      <c r="E4" s="7">
        <v>434.03999999999996</v>
      </c>
      <c r="F4" s="7">
        <v>171.93999999999997</v>
      </c>
    </row>
    <row r="5" spans="1:6" x14ac:dyDescent="0.2">
      <c r="B5" t="s">
        <v>6205</v>
      </c>
      <c r="C5" s="7">
        <v>224.94499999999999</v>
      </c>
      <c r="D5" s="7">
        <v>349.12</v>
      </c>
      <c r="E5" s="7">
        <v>321.04000000000002</v>
      </c>
      <c r="F5" s="7">
        <v>126.035</v>
      </c>
    </row>
    <row r="6" spans="1:6" x14ac:dyDescent="0.2">
      <c r="B6" t="s">
        <v>6206</v>
      </c>
      <c r="C6" s="7">
        <v>307.12</v>
      </c>
      <c r="D6" s="7">
        <v>681.07499999999993</v>
      </c>
      <c r="E6" s="7">
        <v>533.70499999999993</v>
      </c>
      <c r="F6" s="7">
        <v>158.85</v>
      </c>
    </row>
    <row r="7" spans="1:6" x14ac:dyDescent="0.2">
      <c r="B7" t="s">
        <v>6207</v>
      </c>
      <c r="C7" s="7">
        <v>53.664999999999992</v>
      </c>
      <c r="D7" s="7">
        <v>83.025000000000006</v>
      </c>
      <c r="E7" s="7">
        <v>193.83499999999998</v>
      </c>
      <c r="F7" s="7">
        <v>68.039999999999992</v>
      </c>
    </row>
    <row r="8" spans="1:6" x14ac:dyDescent="0.2">
      <c r="B8" t="s">
        <v>6208</v>
      </c>
      <c r="C8" s="7">
        <v>163.01999999999998</v>
      </c>
      <c r="D8" s="7">
        <v>678.3599999999999</v>
      </c>
      <c r="E8" s="7">
        <v>171.04500000000002</v>
      </c>
      <c r="F8" s="7">
        <v>372.255</v>
      </c>
    </row>
    <row r="9" spans="1:6" x14ac:dyDescent="0.2">
      <c r="B9" t="s">
        <v>6209</v>
      </c>
      <c r="C9" s="7">
        <v>345.02</v>
      </c>
      <c r="D9" s="7">
        <v>273.86999999999995</v>
      </c>
      <c r="E9" s="7">
        <v>184.12999999999997</v>
      </c>
      <c r="F9" s="7">
        <v>201.11499999999998</v>
      </c>
    </row>
    <row r="10" spans="1:6" x14ac:dyDescent="0.2">
      <c r="B10" t="s">
        <v>6210</v>
      </c>
      <c r="C10" s="7">
        <v>334.89</v>
      </c>
      <c r="D10" s="7">
        <v>70.95</v>
      </c>
      <c r="E10" s="7">
        <v>134.23000000000002</v>
      </c>
      <c r="F10" s="7">
        <v>166.27499999999998</v>
      </c>
    </row>
    <row r="11" spans="1:6" x14ac:dyDescent="0.2">
      <c r="B11" t="s">
        <v>6211</v>
      </c>
      <c r="C11" s="7">
        <v>178.70999999999998</v>
      </c>
      <c r="D11" s="7">
        <v>166.1</v>
      </c>
      <c r="E11" s="7">
        <v>439.30999999999995</v>
      </c>
      <c r="F11" s="7">
        <v>492.9</v>
      </c>
    </row>
    <row r="12" spans="1:6" x14ac:dyDescent="0.2">
      <c r="B12" t="s">
        <v>6212</v>
      </c>
      <c r="C12" s="7">
        <v>301.98500000000001</v>
      </c>
      <c r="D12" s="7">
        <v>153.76499999999999</v>
      </c>
      <c r="E12" s="7">
        <v>215.55499999999998</v>
      </c>
      <c r="F12" s="7">
        <v>213.66499999999999</v>
      </c>
    </row>
    <row r="13" spans="1:6" x14ac:dyDescent="0.2">
      <c r="B13" t="s">
        <v>6213</v>
      </c>
      <c r="C13" s="7">
        <v>312.83499999999998</v>
      </c>
      <c r="D13" s="7">
        <v>63.249999999999993</v>
      </c>
      <c r="E13" s="7">
        <v>350.89500000000004</v>
      </c>
      <c r="F13" s="7">
        <v>96.405000000000001</v>
      </c>
    </row>
    <row r="14" spans="1:6" x14ac:dyDescent="0.2">
      <c r="B14" t="s">
        <v>6214</v>
      </c>
      <c r="C14" s="7">
        <v>265.62</v>
      </c>
      <c r="D14" s="7">
        <v>526.51499999999987</v>
      </c>
      <c r="E14" s="7">
        <v>187.06</v>
      </c>
      <c r="F14" s="7">
        <v>210.58999999999997</v>
      </c>
    </row>
    <row r="15" spans="1:6" x14ac:dyDescent="0.2">
      <c r="A15" t="s">
        <v>6217</v>
      </c>
      <c r="C15" s="7">
        <v>2926.63</v>
      </c>
      <c r="D15" s="7">
        <v>3481.4599999999996</v>
      </c>
      <c r="E15" s="7">
        <v>3378.0049999999997</v>
      </c>
      <c r="F15" s="7">
        <v>2401.0700000000002</v>
      </c>
    </row>
    <row r="16" spans="1:6" x14ac:dyDescent="0.2">
      <c r="A16" t="s">
        <v>6200</v>
      </c>
      <c r="B16" t="s">
        <v>6203</v>
      </c>
      <c r="C16" s="7">
        <v>47.25</v>
      </c>
      <c r="D16" s="7">
        <v>65.805000000000007</v>
      </c>
      <c r="E16" s="7">
        <v>274.67500000000001</v>
      </c>
      <c r="F16" s="7">
        <v>179.22</v>
      </c>
    </row>
    <row r="17" spans="1:6" x14ac:dyDescent="0.2">
      <c r="B17" t="s">
        <v>6204</v>
      </c>
      <c r="C17" s="7">
        <v>745.44999999999993</v>
      </c>
      <c r="D17" s="7">
        <v>428.88499999999999</v>
      </c>
      <c r="E17" s="7">
        <v>194.17499999999998</v>
      </c>
      <c r="F17" s="7">
        <v>429.82999999999993</v>
      </c>
    </row>
    <row r="18" spans="1:6" x14ac:dyDescent="0.2">
      <c r="B18" t="s">
        <v>6205</v>
      </c>
      <c r="C18" s="7">
        <v>130.47</v>
      </c>
      <c r="D18" s="7">
        <v>271.48500000000001</v>
      </c>
      <c r="E18" s="7">
        <v>281.20499999999998</v>
      </c>
      <c r="F18" s="7">
        <v>231.63000000000002</v>
      </c>
    </row>
    <row r="19" spans="1:6" x14ac:dyDescent="0.2">
      <c r="B19" t="s">
        <v>6206</v>
      </c>
      <c r="C19" s="7">
        <v>27</v>
      </c>
      <c r="D19" s="7">
        <v>347.26</v>
      </c>
      <c r="E19" s="7">
        <v>147.51</v>
      </c>
      <c r="F19" s="7">
        <v>240.04</v>
      </c>
    </row>
    <row r="20" spans="1:6" x14ac:dyDescent="0.2">
      <c r="B20" t="s">
        <v>6207</v>
      </c>
      <c r="C20" s="7">
        <v>255.11499999999995</v>
      </c>
      <c r="D20" s="7">
        <v>541.73</v>
      </c>
      <c r="E20" s="7">
        <v>83.43</v>
      </c>
      <c r="F20" s="7">
        <v>59.079999999999991</v>
      </c>
    </row>
    <row r="21" spans="1:6" x14ac:dyDescent="0.2">
      <c r="B21" t="s">
        <v>6208</v>
      </c>
      <c r="C21" s="7">
        <v>584.78999999999985</v>
      </c>
      <c r="D21" s="7">
        <v>357.42999999999995</v>
      </c>
      <c r="E21" s="7">
        <v>355.34</v>
      </c>
      <c r="F21" s="7">
        <v>140.88</v>
      </c>
    </row>
    <row r="22" spans="1:6" x14ac:dyDescent="0.2">
      <c r="B22" t="s">
        <v>6209</v>
      </c>
      <c r="C22" s="7">
        <v>430.62</v>
      </c>
      <c r="D22" s="7">
        <v>227.42500000000001</v>
      </c>
      <c r="E22" s="7">
        <v>236.315</v>
      </c>
      <c r="F22" s="7">
        <v>414.58499999999992</v>
      </c>
    </row>
    <row r="23" spans="1:6" x14ac:dyDescent="0.2">
      <c r="B23" t="s">
        <v>6210</v>
      </c>
      <c r="C23" s="7">
        <v>22.5</v>
      </c>
      <c r="D23" s="7">
        <v>77.72</v>
      </c>
      <c r="E23" s="7">
        <v>60.5</v>
      </c>
      <c r="F23" s="7">
        <v>139.67999999999998</v>
      </c>
    </row>
    <row r="24" spans="1:6" x14ac:dyDescent="0.2">
      <c r="B24" t="s">
        <v>6211</v>
      </c>
      <c r="C24" s="7">
        <v>126.14999999999999</v>
      </c>
      <c r="D24" s="7">
        <v>195.11</v>
      </c>
      <c r="E24" s="7">
        <v>89.13</v>
      </c>
      <c r="F24" s="7">
        <v>302.65999999999997</v>
      </c>
    </row>
    <row r="25" spans="1:6" x14ac:dyDescent="0.2">
      <c r="B25" t="s">
        <v>6212</v>
      </c>
      <c r="C25" s="7">
        <v>376.03</v>
      </c>
      <c r="D25" s="7">
        <v>523.24</v>
      </c>
      <c r="E25" s="7">
        <v>440.96499999999997</v>
      </c>
      <c r="F25" s="7">
        <v>174.46999999999997</v>
      </c>
    </row>
    <row r="26" spans="1:6" x14ac:dyDescent="0.2">
      <c r="B26" t="s">
        <v>6213</v>
      </c>
      <c r="C26" s="7">
        <v>515.17999999999995</v>
      </c>
      <c r="D26" s="7">
        <v>142.56</v>
      </c>
      <c r="E26" s="7">
        <v>347.03999999999996</v>
      </c>
      <c r="F26" s="7">
        <v>104.08499999999999</v>
      </c>
    </row>
    <row r="27" spans="1:6" x14ac:dyDescent="0.2">
      <c r="B27" t="s">
        <v>6214</v>
      </c>
      <c r="C27" s="7">
        <v>95.859999999999985</v>
      </c>
      <c r="D27" s="7">
        <v>484.76</v>
      </c>
      <c r="E27" s="7">
        <v>94.17</v>
      </c>
      <c r="F27" s="7">
        <v>77.10499999999999</v>
      </c>
    </row>
    <row r="28" spans="1:6" x14ac:dyDescent="0.2">
      <c r="A28" t="s">
        <v>6218</v>
      </c>
      <c r="C28" s="7">
        <v>3356.415</v>
      </c>
      <c r="D28" s="7">
        <v>3663.41</v>
      </c>
      <c r="E28" s="7">
        <v>2604.4550000000004</v>
      </c>
      <c r="F28" s="7">
        <v>2493.2649999999999</v>
      </c>
    </row>
    <row r="29" spans="1:6" x14ac:dyDescent="0.2">
      <c r="A29" t="s">
        <v>6201</v>
      </c>
      <c r="B29" t="s">
        <v>6203</v>
      </c>
      <c r="C29" s="7">
        <v>258.34500000000003</v>
      </c>
      <c r="D29" s="7">
        <v>139.625</v>
      </c>
      <c r="E29" s="7">
        <v>279.52000000000004</v>
      </c>
      <c r="F29" s="7">
        <v>160.19499999999999</v>
      </c>
    </row>
    <row r="30" spans="1:6" x14ac:dyDescent="0.2">
      <c r="B30" t="s">
        <v>6204</v>
      </c>
      <c r="C30" s="7">
        <v>342.2</v>
      </c>
      <c r="D30" s="7">
        <v>284.24999999999994</v>
      </c>
      <c r="E30" s="7">
        <v>251.83</v>
      </c>
      <c r="F30" s="7">
        <v>80.550000000000011</v>
      </c>
    </row>
    <row r="31" spans="1:6" x14ac:dyDescent="0.2">
      <c r="B31" t="s">
        <v>6205</v>
      </c>
      <c r="C31" s="7">
        <v>418.30499999999989</v>
      </c>
      <c r="D31" s="7">
        <v>468.125</v>
      </c>
      <c r="E31" s="7">
        <v>405.05500000000006</v>
      </c>
      <c r="F31" s="7">
        <v>253.15499999999997</v>
      </c>
    </row>
    <row r="32" spans="1:6" x14ac:dyDescent="0.2">
      <c r="B32" t="s">
        <v>6206</v>
      </c>
      <c r="C32" s="7">
        <v>102.32999999999998</v>
      </c>
      <c r="D32" s="7">
        <v>242.14000000000001</v>
      </c>
      <c r="E32" s="7">
        <v>554.875</v>
      </c>
      <c r="F32" s="7">
        <v>106.23999999999998</v>
      </c>
    </row>
    <row r="33" spans="1:6" x14ac:dyDescent="0.2">
      <c r="B33" t="s">
        <v>6207</v>
      </c>
      <c r="C33" s="7">
        <v>234.71999999999997</v>
      </c>
      <c r="D33" s="7">
        <v>133.08000000000001</v>
      </c>
      <c r="E33" s="7">
        <v>267.2</v>
      </c>
      <c r="F33" s="7">
        <v>272.68999999999994</v>
      </c>
    </row>
    <row r="34" spans="1:6" x14ac:dyDescent="0.2">
      <c r="B34" t="s">
        <v>6208</v>
      </c>
      <c r="C34" s="7">
        <v>430.39</v>
      </c>
      <c r="D34" s="7">
        <v>136.20500000000001</v>
      </c>
      <c r="E34" s="7">
        <v>209.6</v>
      </c>
      <c r="F34" s="7">
        <v>88.334999999999994</v>
      </c>
    </row>
    <row r="35" spans="1:6" x14ac:dyDescent="0.2">
      <c r="B35" t="s">
        <v>6209</v>
      </c>
      <c r="C35" s="7">
        <v>109.005</v>
      </c>
      <c r="D35" s="7">
        <v>393.57499999999999</v>
      </c>
      <c r="E35" s="7">
        <v>61.034999999999997</v>
      </c>
      <c r="F35" s="7">
        <v>199.48999999999998</v>
      </c>
    </row>
    <row r="36" spans="1:6" x14ac:dyDescent="0.2">
      <c r="B36" t="s">
        <v>6210</v>
      </c>
      <c r="C36" s="7">
        <v>287.52499999999998</v>
      </c>
      <c r="D36" s="7">
        <v>288.67</v>
      </c>
      <c r="E36" s="7">
        <v>125.58</v>
      </c>
      <c r="F36" s="7">
        <v>374.13499999999999</v>
      </c>
    </row>
    <row r="37" spans="1:6" x14ac:dyDescent="0.2">
      <c r="B37" t="s">
        <v>6211</v>
      </c>
      <c r="C37" s="7">
        <v>840.92999999999984</v>
      </c>
      <c r="D37" s="7">
        <v>409.875</v>
      </c>
      <c r="E37" s="7">
        <v>171.32999999999998</v>
      </c>
      <c r="F37" s="7">
        <v>221.43999999999997</v>
      </c>
    </row>
    <row r="38" spans="1:6" x14ac:dyDescent="0.2">
      <c r="B38" t="s">
        <v>6212</v>
      </c>
      <c r="C38" s="7">
        <v>299.07</v>
      </c>
      <c r="D38" s="7">
        <v>260.32499999999999</v>
      </c>
      <c r="E38" s="7">
        <v>584.64</v>
      </c>
      <c r="F38" s="7">
        <v>256.36500000000001</v>
      </c>
    </row>
    <row r="39" spans="1:6" x14ac:dyDescent="0.2">
      <c r="B39" t="s">
        <v>6213</v>
      </c>
      <c r="C39" s="7">
        <v>323.32499999999999</v>
      </c>
      <c r="D39" s="7">
        <v>565.57000000000005</v>
      </c>
      <c r="E39" s="7">
        <v>537.80999999999995</v>
      </c>
      <c r="F39" s="7">
        <v>189.47499999999999</v>
      </c>
    </row>
    <row r="40" spans="1:6" x14ac:dyDescent="0.2">
      <c r="B40" t="s">
        <v>6214</v>
      </c>
      <c r="C40" s="7">
        <v>399.48499999999996</v>
      </c>
      <c r="D40" s="7">
        <v>148.19999999999999</v>
      </c>
      <c r="E40" s="7">
        <v>388.21999999999997</v>
      </c>
      <c r="F40" s="7">
        <v>212.07499999999999</v>
      </c>
    </row>
    <row r="41" spans="1:6" x14ac:dyDescent="0.2">
      <c r="A41" t="s">
        <v>6219</v>
      </c>
      <c r="C41" s="7">
        <v>4045.63</v>
      </c>
      <c r="D41" s="7">
        <v>3469.64</v>
      </c>
      <c r="E41" s="7">
        <v>3836.6949999999997</v>
      </c>
      <c r="F41" s="7">
        <v>2414.145</v>
      </c>
    </row>
    <row r="42" spans="1:6" x14ac:dyDescent="0.2">
      <c r="A42" t="s">
        <v>6202</v>
      </c>
      <c r="B42" t="s">
        <v>6203</v>
      </c>
      <c r="C42" s="7">
        <v>112.69499999999999</v>
      </c>
      <c r="D42" s="7">
        <v>166.32</v>
      </c>
      <c r="E42" s="7">
        <v>843.71499999999992</v>
      </c>
      <c r="F42" s="7">
        <v>146.685</v>
      </c>
    </row>
    <row r="43" spans="1:6" x14ac:dyDescent="0.2">
      <c r="B43" t="s">
        <v>6204</v>
      </c>
      <c r="C43" s="7">
        <v>114.87999999999998</v>
      </c>
      <c r="D43" s="7">
        <v>133.815</v>
      </c>
      <c r="E43" s="7">
        <v>91.175000000000011</v>
      </c>
      <c r="F43" s="7">
        <v>53.759999999999991</v>
      </c>
    </row>
    <row r="44" spans="1:6" x14ac:dyDescent="0.2">
      <c r="B44" t="s">
        <v>6205</v>
      </c>
      <c r="C44" s="7">
        <v>277.76</v>
      </c>
      <c r="D44" s="7">
        <v>175.41</v>
      </c>
      <c r="E44" s="7">
        <v>462.50999999999993</v>
      </c>
      <c r="F44" s="7">
        <v>399.52499999999998</v>
      </c>
    </row>
    <row r="45" spans="1:6" x14ac:dyDescent="0.2">
      <c r="B45" t="s">
        <v>6206</v>
      </c>
      <c r="C45" s="7">
        <v>197.89499999999998</v>
      </c>
      <c r="D45" s="7">
        <v>289.755</v>
      </c>
      <c r="E45" s="7">
        <v>88.545000000000002</v>
      </c>
      <c r="F45" s="7">
        <v>200.25499999999997</v>
      </c>
    </row>
    <row r="46" spans="1:6" x14ac:dyDescent="0.2">
      <c r="B46" t="s">
        <v>6207</v>
      </c>
      <c r="C46" s="7">
        <v>193.11499999999998</v>
      </c>
      <c r="D46" s="7">
        <v>212.49499999999998</v>
      </c>
      <c r="E46" s="7">
        <v>292.29000000000002</v>
      </c>
      <c r="F46" s="7">
        <v>304.46999999999997</v>
      </c>
    </row>
    <row r="47" spans="1:6" x14ac:dyDescent="0.2">
      <c r="B47" t="s">
        <v>6208</v>
      </c>
      <c r="C47" s="7">
        <v>179.79</v>
      </c>
      <c r="D47" s="7">
        <v>426.2</v>
      </c>
      <c r="E47" s="7">
        <v>170.08999999999997</v>
      </c>
      <c r="F47" s="7">
        <v>379.31</v>
      </c>
    </row>
    <row r="48" spans="1:6" x14ac:dyDescent="0.2">
      <c r="B48" t="s">
        <v>6209</v>
      </c>
      <c r="C48" s="7">
        <v>247.28999999999996</v>
      </c>
      <c r="D48" s="7">
        <v>246.685</v>
      </c>
      <c r="E48" s="7">
        <v>271.05499999999995</v>
      </c>
      <c r="F48" s="7">
        <v>141.69999999999999</v>
      </c>
    </row>
    <row r="49" spans="1:6" x14ac:dyDescent="0.2">
      <c r="B49" t="s">
        <v>6210</v>
      </c>
      <c r="C49" s="7">
        <v>116.39499999999998</v>
      </c>
      <c r="D49" s="7">
        <v>41.25</v>
      </c>
      <c r="E49" s="7">
        <v>15.54</v>
      </c>
      <c r="F49" s="7">
        <v>71.06</v>
      </c>
    </row>
    <row r="50" spans="1:6" x14ac:dyDescent="0.2">
      <c r="A50" t="s">
        <v>6220</v>
      </c>
      <c r="C50" s="7">
        <v>1439.82</v>
      </c>
      <c r="D50" s="7">
        <v>1691.9299999999998</v>
      </c>
      <c r="E50" s="7">
        <v>2234.9199999999996</v>
      </c>
      <c r="F50" s="7">
        <v>1696.7649999999999</v>
      </c>
    </row>
    <row r="51" spans="1:6" x14ac:dyDescent="0.2">
      <c r="A51" t="s">
        <v>6198</v>
      </c>
      <c r="C51" s="7">
        <v>11768.495000000003</v>
      </c>
      <c r="D51" s="7">
        <v>12306.440000000002</v>
      </c>
      <c r="E51" s="7">
        <v>12054.075000000003</v>
      </c>
      <c r="F51" s="7">
        <v>9005.244999999999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C42DC-82E1-814E-9929-59355434A0D2}">
  <dimension ref="A1:B5"/>
  <sheetViews>
    <sheetView workbookViewId="0">
      <selection activeCell="H9" sqref="H9"/>
    </sheetView>
  </sheetViews>
  <sheetFormatPr baseColWidth="10" defaultRowHeight="15" x14ac:dyDescent="0.2"/>
  <cols>
    <col min="1" max="1" width="13.5" bestFit="1" customWidth="1"/>
    <col min="2" max="2" width="10.5" bestFit="1" customWidth="1"/>
    <col min="3" max="3" width="6.6640625" bestFit="1" customWidth="1"/>
    <col min="4" max="6" width="7.33203125" bestFit="1" customWidth="1"/>
    <col min="7" max="7" width="10" bestFit="1" customWidth="1"/>
  </cols>
  <sheetData>
    <row r="1" spans="1:2" x14ac:dyDescent="0.2">
      <c r="A1" s="6" t="s">
        <v>7</v>
      </c>
      <c r="B1" t="s">
        <v>6225</v>
      </c>
    </row>
    <row r="2" spans="1:2" x14ac:dyDescent="0.2">
      <c r="A2" t="s">
        <v>28</v>
      </c>
      <c r="B2" s="7">
        <v>2798.5050000000001</v>
      </c>
    </row>
    <row r="3" spans="1:2" x14ac:dyDescent="0.2">
      <c r="A3" t="s">
        <v>318</v>
      </c>
      <c r="B3" s="7">
        <v>6696.8649999999989</v>
      </c>
    </row>
    <row r="4" spans="1:2" x14ac:dyDescent="0.2">
      <c r="A4" t="s">
        <v>19</v>
      </c>
      <c r="B4" s="7">
        <v>35638.88499999998</v>
      </c>
    </row>
    <row r="5" spans="1:2" x14ac:dyDescent="0.2">
      <c r="A5" t="s">
        <v>6198</v>
      </c>
      <c r="B5" s="7">
        <v>45134.254999999976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995F6-3DE6-9545-8D30-327F4B88DC7F}">
  <dimension ref="A1:B7"/>
  <sheetViews>
    <sheetView workbookViewId="0"/>
  </sheetViews>
  <sheetFormatPr baseColWidth="10" defaultRowHeight="15" x14ac:dyDescent="0.2"/>
  <cols>
    <col min="1" max="1" width="16" bestFit="1" customWidth="1"/>
    <col min="2" max="2" width="10.5" bestFit="1" customWidth="1"/>
    <col min="3" max="3" width="6.6640625" bestFit="1" customWidth="1"/>
    <col min="4" max="6" width="7.33203125" bestFit="1" customWidth="1"/>
    <col min="7" max="7" width="10" bestFit="1" customWidth="1"/>
  </cols>
  <sheetData>
    <row r="1" spans="1:2" x14ac:dyDescent="0.2">
      <c r="A1" s="6" t="s">
        <v>4</v>
      </c>
      <c r="B1" t="s">
        <v>6225</v>
      </c>
    </row>
    <row r="2" spans="1:2" x14ac:dyDescent="0.2">
      <c r="A2" t="s">
        <v>3753</v>
      </c>
      <c r="B2" s="7">
        <v>278.01</v>
      </c>
    </row>
    <row r="3" spans="1:2" x14ac:dyDescent="0.2">
      <c r="A3" t="s">
        <v>1598</v>
      </c>
      <c r="B3" s="7">
        <v>281.67499999999995</v>
      </c>
    </row>
    <row r="4" spans="1:2" x14ac:dyDescent="0.2">
      <c r="A4" t="s">
        <v>2587</v>
      </c>
      <c r="B4" s="7">
        <v>289.11</v>
      </c>
    </row>
    <row r="5" spans="1:2" x14ac:dyDescent="0.2">
      <c r="A5" t="s">
        <v>5765</v>
      </c>
      <c r="B5" s="7">
        <v>307.04499999999996</v>
      </c>
    </row>
    <row r="6" spans="1:2" x14ac:dyDescent="0.2">
      <c r="A6" t="s">
        <v>5114</v>
      </c>
      <c r="B6" s="7">
        <v>317.06999999999994</v>
      </c>
    </row>
    <row r="7" spans="1:2" x14ac:dyDescent="0.2">
      <c r="A7" t="s">
        <v>6198</v>
      </c>
      <c r="B7" s="7">
        <v>1472.9099999999999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L1" zoomScale="115" zoomScaleNormal="115" workbookViewId="0">
      <selection activeCell="P3" sqref="P3"/>
    </sheetView>
  </sheetViews>
  <sheetFormatPr baseColWidth="10" defaultColWidth="8.83203125" defaultRowHeight="15" x14ac:dyDescent="0.2"/>
  <cols>
    <col min="1" max="1" width="16.5" bestFit="1" customWidth="1"/>
    <col min="2" max="2" width="12" customWidth="1"/>
    <col min="3" max="3" width="17.5" bestFit="1" customWidth="1"/>
    <col min="4" max="4" width="11.33203125" customWidth="1"/>
    <col min="5" max="5" width="10" customWidth="1"/>
    <col min="6" max="6" width="16.1640625" customWidth="1"/>
    <col min="7" max="7" width="7.1640625" customWidth="1"/>
    <col min="8" max="8" width="9.5" customWidth="1"/>
    <col min="9" max="9" width="12.5" customWidth="1"/>
    <col min="10" max="10" width="11.6640625" customWidth="1"/>
    <col min="11" max="11" width="6.1640625" customWidth="1"/>
    <col min="12" max="12" width="10.6640625" customWidth="1"/>
    <col min="13" max="13" width="7.6640625" bestFit="1" customWidth="1"/>
    <col min="14" max="14" width="17.6640625" customWidth="1"/>
    <col min="15" max="15" width="16.83203125" customWidth="1"/>
  </cols>
  <sheetData>
    <row r="1" spans="1:16" x14ac:dyDescent="0.2">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
      <c r="A2" s="2" t="s">
        <v>490</v>
      </c>
      <c r="B2" s="3">
        <v>43713</v>
      </c>
      <c r="C2" s="2" t="s">
        <v>491</v>
      </c>
      <c r="D2" t="s">
        <v>6138</v>
      </c>
      <c r="E2" s="2">
        <v>2</v>
      </c>
      <c r="F2" s="2" t="str">
        <f>_xlfn.XLOOKUP(C2,customers!$A$1:$A$1001,customers!$B$1:$B$1001,,0)</f>
        <v>Aloisia Allner</v>
      </c>
      <c r="G2" s="2" t="str" cm="1">
        <f t="array" ref="G2">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 "Robusta", IF(I2="Exc", "Excelsa", IF(I2="Ara", "Arabica", IF(I2="Lib", "Liberica", ""))))</f>
        <v>Robusta</v>
      </c>
      <c r="O2" t="str">
        <f>IF(J2="M", "Medium", IF(J2="L", "Light", IF(J2="D", "Dark", "")))</f>
        <v>Medium</v>
      </c>
      <c r="P2" t="str">
        <f>_xlfn.XLOOKUP(Orders[[#This Row],[Customer ID]],customers!$A$1:$A$1001,customers!$I$1:$I$1001,,0)</f>
        <v>Yes</v>
      </c>
    </row>
    <row r="3" spans="1:16" x14ac:dyDescent="0.2">
      <c r="A3" s="2" t="s">
        <v>490</v>
      </c>
      <c r="B3" s="3">
        <v>43713</v>
      </c>
      <c r="C3" s="2" t="s">
        <v>491</v>
      </c>
      <c r="D3" t="s">
        <v>6139</v>
      </c>
      <c r="E3" s="2">
        <v>5</v>
      </c>
      <c r="F3" s="2" t="str">
        <f>_xlfn.XLOOKUP(C3,customers!$A$1:$A$1001,customers!$B$1:$B$1001,,0)</f>
        <v>Aloisia Allner</v>
      </c>
      <c r="G3" s="2" t="str" cm="1">
        <f t="array" ref="G3">IF(_xlfn.XLOOKUP(C3,customers!A2:$A$1001,customers!C2:$C$1001,,0)=0,"",_xlfn.XLOOKUP(C3,customers!A2:$A$1001,customers!C2:$C$1001,,0))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 "Robusta", IF(I3="Exc", "Excelsa", IF(I3="Ara", "Arabica", IF(I3="Lib", "Liberica", ""))))</f>
        <v>Excelsa</v>
      </c>
      <c r="O3" t="str">
        <f t="shared" ref="O3:O66" si="2">IF(J3="M", "Medium", IF(J3="L", "Light", IF(J3="D", "Dark", "")))</f>
        <v>Medium</v>
      </c>
      <c r="P3" t="str">
        <f>_xlfn.XLOOKUP(Orders[[#This Row],[Customer ID]],customers!$A$1:$A$1001,customers!$I$1:$I$1001,,0)</f>
        <v>Yes</v>
      </c>
    </row>
    <row r="4" spans="1:16" x14ac:dyDescent="0.2">
      <c r="A4" s="2" t="s">
        <v>501</v>
      </c>
      <c r="B4" s="3">
        <v>44364</v>
      </c>
      <c r="C4" s="2" t="s">
        <v>502</v>
      </c>
      <c r="D4" t="s">
        <v>6140</v>
      </c>
      <c r="E4" s="2">
        <v>1</v>
      </c>
      <c r="F4" s="2" t="str">
        <f>_xlfn.XLOOKUP(C4,customers!$A$1:$A$1001,customers!$B$1:$B$1001,,0)</f>
        <v>Jami Redholes</v>
      </c>
      <c r="G4" s="2" t="str" cm="1">
        <f t="array" ref="G4">IF(_xlfn.XLOOKUP(C4,customers!A3:$A$1001,customers!C3:$C$1001,,0)=0,"",_xlfn.XLOOKUP(C4,customers!A3:$A$1001,customers!C3:$C$1001,,0))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2">
      <c r="A5" s="2" t="s">
        <v>512</v>
      </c>
      <c r="B5" s="3">
        <v>44392</v>
      </c>
      <c r="C5" s="2" t="s">
        <v>513</v>
      </c>
      <c r="D5" t="s">
        <v>6141</v>
      </c>
      <c r="E5" s="2">
        <v>2</v>
      </c>
      <c r="F5" s="2" t="str">
        <f>_xlfn.XLOOKUP(C5,customers!$A$1:$A$1001,customers!$B$1:$B$1001,,0)</f>
        <v>Christoffer O' Shea</v>
      </c>
      <c r="G5" s="2" t="str" cm="1">
        <f t="array" ref="G5">IF(_xlfn.XLOOKUP(C5,customers!A4:$A$1001,customers!C4:$C$1001,,0)=0,"",_xlfn.XLOOKUP(C5,customers!A4:$A$1001,customers!C4:$C$1001,,0))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2">
      <c r="A6" s="2" t="s">
        <v>512</v>
      </c>
      <c r="B6" s="3">
        <v>44392</v>
      </c>
      <c r="C6" s="2" t="s">
        <v>513</v>
      </c>
      <c r="D6" t="s">
        <v>6142</v>
      </c>
      <c r="E6" s="2">
        <v>2</v>
      </c>
      <c r="F6" s="2" t="str">
        <f>_xlfn.XLOOKUP(C6,customers!$A$1:$A$1001,customers!$B$1:$B$1001,,0)</f>
        <v>Christoffer O' Shea</v>
      </c>
      <c r="G6" s="2" t="str" cm="1">
        <f t="array" ref="G6">IF(_xlfn.XLOOKUP(C6,customers!A5:$A$1001,customers!C5:$C$1001,,0)=0,"",_xlfn.XLOOKUP(C6,customers!A5:$A$1001,customers!C5:$C$1001,,0))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2">
      <c r="A7" s="2" t="s">
        <v>519</v>
      </c>
      <c r="B7" s="3">
        <v>44412</v>
      </c>
      <c r="C7" s="2" t="s">
        <v>520</v>
      </c>
      <c r="D7" t="s">
        <v>6143</v>
      </c>
      <c r="E7" s="2">
        <v>3</v>
      </c>
      <c r="F7" s="2" t="str">
        <f>_xlfn.XLOOKUP(C7,customers!$A$1:$A$1001,customers!$B$1:$B$1001,,0)</f>
        <v>Beryle Cottier</v>
      </c>
      <c r="G7" s="2" t="str" cm="1">
        <f t="array" ref="G7">IF(_xlfn.XLOOKUP(C7,customers!A6:$A$1001,customers!C6:$C$1001,,0)=0,"",_xlfn.XLOOKUP(C7,customers!A6:$A$1001,customers!C6:$C$1001,,0))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2">
      <c r="A8" s="2" t="s">
        <v>524</v>
      </c>
      <c r="B8" s="3">
        <v>44582</v>
      </c>
      <c r="C8" s="2" t="s">
        <v>525</v>
      </c>
      <c r="D8" t="s">
        <v>6144</v>
      </c>
      <c r="E8" s="2">
        <v>3</v>
      </c>
      <c r="F8" s="2" t="str">
        <f>_xlfn.XLOOKUP(C8,customers!$A$1:$A$1001,customers!$B$1:$B$1001,,0)</f>
        <v>Shaylynn Lobe</v>
      </c>
      <c r="G8" s="2" t="str" cm="1">
        <f t="array" ref="G8">IF(_xlfn.XLOOKUP(C8,customers!A7:$A$1001,customers!C7:$C$1001,,0)=0,"",_xlfn.XLOOKUP(C8,customers!A7:$A$1001,customers!C7:$C$1001,,0))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2">
      <c r="A9" s="2" t="s">
        <v>530</v>
      </c>
      <c r="B9" s="3">
        <v>44701</v>
      </c>
      <c r="C9" s="2" t="s">
        <v>531</v>
      </c>
      <c r="D9" t="s">
        <v>6145</v>
      </c>
      <c r="E9" s="2">
        <v>1</v>
      </c>
      <c r="F9" s="2" t="str">
        <f>_xlfn.XLOOKUP(C9,customers!$A$1:$A$1001,customers!$B$1:$B$1001,,0)</f>
        <v>Melvin Wharfe</v>
      </c>
      <c r="G9" s="2" t="str" cm="1">
        <f t="array" ref="G9">IF(_xlfn.XLOOKUP(C9,customers!A8:$A$1001,customers!C8:$C$1001,,0)=0,"",_xlfn.XLOOKUP(C9,customers!A8:$A$1001,customers!C8:$C$1001,,0))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2">
      <c r="A10" s="2" t="s">
        <v>535</v>
      </c>
      <c r="B10" s="3">
        <v>43467</v>
      </c>
      <c r="C10" s="2" t="s">
        <v>536</v>
      </c>
      <c r="D10" t="s">
        <v>6146</v>
      </c>
      <c r="E10" s="2">
        <v>3</v>
      </c>
      <c r="F10" s="2" t="str">
        <f>_xlfn.XLOOKUP(C10,customers!$A$1:$A$1001,customers!$B$1:$B$1001,,0)</f>
        <v>Guthrey Petracci</v>
      </c>
      <c r="G10" s="2" t="str" cm="1">
        <f t="array" ref="G10">IF(_xlfn.XLOOKUP(C10,customers!A9:$A$1001,customers!C9:$C$1001,,0)=0,"",_xlfn.XLOOKUP(C10,customers!A9:$A$1001,customers!C9:$C$1001,,0))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2">
      <c r="A11" s="2" t="s">
        <v>541</v>
      </c>
      <c r="B11" s="3">
        <v>43713</v>
      </c>
      <c r="C11" s="2" t="s">
        <v>542</v>
      </c>
      <c r="D11" t="s">
        <v>6146</v>
      </c>
      <c r="E11" s="2">
        <v>1</v>
      </c>
      <c r="F11" s="2" t="str">
        <f>_xlfn.XLOOKUP(C11,customers!$A$1:$A$1001,customers!$B$1:$B$1001,,0)</f>
        <v>Rodger Raven</v>
      </c>
      <c r="G11" s="2" t="str" cm="1">
        <f t="array" ref="G11">IF(_xlfn.XLOOKUP(C11,customers!A10:$A$1001,customers!C10:$C$1001,,0)=0,"",_xlfn.XLOOKUP(C11,customers!A10:$A$1001,customers!C10:$C$1001,,0))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2">
      <c r="A12" s="2" t="s">
        <v>547</v>
      </c>
      <c r="B12" s="3">
        <v>44263</v>
      </c>
      <c r="C12" s="2" t="s">
        <v>548</v>
      </c>
      <c r="D12" t="s">
        <v>6147</v>
      </c>
      <c r="E12" s="2">
        <v>4</v>
      </c>
      <c r="F12" s="2" t="str">
        <f>_xlfn.XLOOKUP(C12,customers!$A$1:$A$1001,customers!$B$1:$B$1001,,0)</f>
        <v>Ferrell Ferber</v>
      </c>
      <c r="G12" s="2" t="str" cm="1">
        <f t="array" ref="G12">IF(_xlfn.XLOOKUP(C12,customers!A11:$A$1001,customers!C11:$C$1001,,0)=0,"",_xlfn.XLOOKUP(C12,customers!A11:$A$1001,customers!C11:$C$1001,,0))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2">
      <c r="A13" s="2" t="s">
        <v>553</v>
      </c>
      <c r="B13" s="3">
        <v>44132</v>
      </c>
      <c r="C13" s="2" t="s">
        <v>554</v>
      </c>
      <c r="D13" t="s">
        <v>6148</v>
      </c>
      <c r="E13" s="2">
        <v>5</v>
      </c>
      <c r="F13" s="2" t="str">
        <f>_xlfn.XLOOKUP(C13,customers!$A$1:$A$1001,customers!$B$1:$B$1001,,0)</f>
        <v>Duky Phizackerly</v>
      </c>
      <c r="G13" s="2" t="str" cm="1">
        <f t="array" ref="G13">IF(_xlfn.XLOOKUP(C13,customers!A12:$A$1001,customers!C12:$C$1001,,0)=0,"",_xlfn.XLOOKUP(C13,customers!A12:$A$1001,customers!C12:$C$1001,,0))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2">
      <c r="A14" s="2" t="s">
        <v>559</v>
      </c>
      <c r="B14" s="3">
        <v>44744</v>
      </c>
      <c r="C14" s="2" t="s">
        <v>560</v>
      </c>
      <c r="D14" t="s">
        <v>6138</v>
      </c>
      <c r="E14" s="2">
        <v>5</v>
      </c>
      <c r="F14" s="2" t="str">
        <f>_xlfn.XLOOKUP(C14,customers!$A$1:$A$1001,customers!$B$1:$B$1001,,0)</f>
        <v>Rosaleen Scholar</v>
      </c>
      <c r="G14" s="2" t="str" cm="1">
        <f t="array" ref="G14">IF(_xlfn.XLOOKUP(C14,customers!A13:$A$1001,customers!C13:$C$1001,,0)=0,"",_xlfn.XLOOKUP(C14,customers!A13:$A$1001,customers!C13:$C$1001,,0))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2">
      <c r="A15" s="2" t="s">
        <v>565</v>
      </c>
      <c r="B15" s="3">
        <v>43973</v>
      </c>
      <c r="C15" s="2" t="s">
        <v>566</v>
      </c>
      <c r="D15" t="s">
        <v>6149</v>
      </c>
      <c r="E15" s="2">
        <v>2</v>
      </c>
      <c r="F15" s="2" t="str">
        <f>_xlfn.XLOOKUP(C15,customers!$A$1:$A$1001,customers!$B$1:$B$1001,,0)</f>
        <v>Terence Vanyutin</v>
      </c>
      <c r="G15" s="2" t="str" cm="1">
        <f t="array" ref="G15">IF(_xlfn.XLOOKUP(C15,customers!A14:$A$1001,customers!C14:$C$1001,,0)=0,"",_xlfn.XLOOKUP(C15,customers!A14:$A$1001,customers!C14:$C$1001,,0))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2">
      <c r="A16" s="2" t="s">
        <v>570</v>
      </c>
      <c r="B16" s="3">
        <v>44656</v>
      </c>
      <c r="C16" s="2" t="s">
        <v>571</v>
      </c>
      <c r="D16" t="s">
        <v>6150</v>
      </c>
      <c r="E16" s="2">
        <v>3</v>
      </c>
      <c r="F16" s="2" t="str">
        <f>_xlfn.XLOOKUP(C16,customers!$A$1:$A$1001,customers!$B$1:$B$1001,,0)</f>
        <v>Patrice Trobe</v>
      </c>
      <c r="G16" s="2" t="str" cm="1">
        <f t="array" ref="G16">IF(_xlfn.XLOOKUP(C16,customers!A15:$A$1001,customers!C15:$C$1001,,0)=0,"",_xlfn.XLOOKUP(C16,customers!A15:$A$1001,customers!C15:$C$1001,,0))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2">
      <c r="A17" s="2" t="s">
        <v>576</v>
      </c>
      <c r="B17" s="3">
        <v>44719</v>
      </c>
      <c r="C17" s="2" t="s">
        <v>577</v>
      </c>
      <c r="D17" t="s">
        <v>6151</v>
      </c>
      <c r="E17" s="2">
        <v>5</v>
      </c>
      <c r="F17" s="2" t="str">
        <f>_xlfn.XLOOKUP(C17,customers!$A$1:$A$1001,customers!$B$1:$B$1001,,0)</f>
        <v>Llywellyn Oscroft</v>
      </c>
      <c r="G17" s="2" t="str" cm="1">
        <f t="array" ref="G17">IF(_xlfn.XLOOKUP(C17,customers!A16:$A$1001,customers!C16:$C$1001,,0)=0,"",_xlfn.XLOOKUP(C17,customers!A16:$A$1001,customers!C16:$C$1001,,0))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2">
      <c r="A18" s="2" t="s">
        <v>581</v>
      </c>
      <c r="B18" s="3">
        <v>43544</v>
      </c>
      <c r="C18" s="2" t="s">
        <v>582</v>
      </c>
      <c r="D18" t="s">
        <v>6152</v>
      </c>
      <c r="E18" s="2">
        <v>6</v>
      </c>
      <c r="F18" s="2" t="str">
        <f>_xlfn.XLOOKUP(C18,customers!$A$1:$A$1001,customers!$B$1:$B$1001,,0)</f>
        <v>Minni Alabaster</v>
      </c>
      <c r="G18" s="2" t="str" cm="1">
        <f t="array" ref="G18">IF(_xlfn.XLOOKUP(C18,customers!A17:$A$1001,customers!C17:$C$1001,,0)=0,"",_xlfn.XLOOKUP(C18,customers!A17:$A$1001,customers!C17:$C$1001,,0))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2">
      <c r="A19" s="2" t="s">
        <v>587</v>
      </c>
      <c r="B19" s="3">
        <v>43757</v>
      </c>
      <c r="C19" s="2" t="s">
        <v>588</v>
      </c>
      <c r="D19" t="s">
        <v>6140</v>
      </c>
      <c r="E19" s="2">
        <v>6</v>
      </c>
      <c r="F19" s="2" t="str">
        <f>_xlfn.XLOOKUP(C19,customers!$A$1:$A$1001,customers!$B$1:$B$1001,,0)</f>
        <v>Rhianon Broxup</v>
      </c>
      <c r="G19" s="2" t="str" cm="1">
        <f t="array" ref="G19">IF(_xlfn.XLOOKUP(C19,customers!A18:$A$1001,customers!C18:$C$1001,,0)=0,"",_xlfn.XLOOKUP(C19,customers!A18:$A$1001,customers!C18:$C$1001,,0))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2">
      <c r="A20" s="2" t="s">
        <v>593</v>
      </c>
      <c r="B20" s="3">
        <v>43629</v>
      </c>
      <c r="C20" s="2" t="s">
        <v>594</v>
      </c>
      <c r="D20" t="s">
        <v>6149</v>
      </c>
      <c r="E20" s="2">
        <v>4</v>
      </c>
      <c r="F20" s="2" t="str">
        <f>_xlfn.XLOOKUP(C20,customers!$A$1:$A$1001,customers!$B$1:$B$1001,,0)</f>
        <v>Pall Redford</v>
      </c>
      <c r="G20" s="2" t="str" cm="1">
        <f t="array" ref="G20">IF(_xlfn.XLOOKUP(C20,customers!A19:$A$1001,customers!C19:$C$1001,,0)=0,"",_xlfn.XLOOKUP(C20,customers!A19:$A$1001,customers!C19:$C$1001,,0))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2">
      <c r="A21" s="2" t="s">
        <v>598</v>
      </c>
      <c r="B21" s="3">
        <v>44169</v>
      </c>
      <c r="C21" s="2" t="s">
        <v>599</v>
      </c>
      <c r="D21" t="s">
        <v>6152</v>
      </c>
      <c r="E21" s="2">
        <v>5</v>
      </c>
      <c r="F21" s="2" t="str">
        <f>_xlfn.XLOOKUP(C21,customers!$A$1:$A$1001,customers!$B$1:$B$1001,,0)</f>
        <v>Aurea Corradino</v>
      </c>
      <c r="G21" s="2" t="str" cm="1">
        <f t="array" ref="G21">IF(_xlfn.XLOOKUP(C21,customers!A20:$A$1001,customers!C20:$C$1001,,0)=0,"",_xlfn.XLOOKUP(C21,customers!A20:$A$1001,customers!C20:$C$1001,,0))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2">
      <c r="A22" s="2" t="s">
        <v>598</v>
      </c>
      <c r="B22" s="3">
        <v>44169</v>
      </c>
      <c r="C22" s="2" t="s">
        <v>599</v>
      </c>
      <c r="D22" t="s">
        <v>6153</v>
      </c>
      <c r="E22" s="2">
        <v>4</v>
      </c>
      <c r="F22" s="2" t="str">
        <f>_xlfn.XLOOKUP(C22,customers!$A$1:$A$1001,customers!$B$1:$B$1001,,0)</f>
        <v>Aurea Corradino</v>
      </c>
      <c r="G22" s="2" t="str" cm="1">
        <f t="array" ref="G22">IF(_xlfn.XLOOKUP(C22,customers!A21:$A$1001,customers!C21:$C$1001,,0)=0,"",_xlfn.XLOOKUP(C22,customers!A21:$A$1001,customers!C21:$C$1001,,0))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2">
      <c r="A23" s="2" t="s">
        <v>608</v>
      </c>
      <c r="B23" s="3">
        <v>44169</v>
      </c>
      <c r="C23" s="2" t="s">
        <v>609</v>
      </c>
      <c r="D23" t="s">
        <v>6154</v>
      </c>
      <c r="E23" s="2">
        <v>6</v>
      </c>
      <c r="F23" s="2" t="str">
        <f>_xlfn.XLOOKUP(C23,customers!$A$1:$A$1001,customers!$B$1:$B$1001,,0)</f>
        <v>Avrit Davidowsky</v>
      </c>
      <c r="G23" s="2" t="str" cm="1">
        <f t="array" ref="G23">IF(_xlfn.XLOOKUP(C23,customers!A22:$A$1001,customers!C22:$C$1001,,0)=0,"",_xlfn.XLOOKUP(C23,customers!A22:$A$1001,customers!C22:$C$1001,,0))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2">
      <c r="A24" s="2" t="s">
        <v>614</v>
      </c>
      <c r="B24" s="3">
        <v>44218</v>
      </c>
      <c r="C24" s="2" t="s">
        <v>615</v>
      </c>
      <c r="D24" t="s">
        <v>6151</v>
      </c>
      <c r="E24" s="2">
        <v>4</v>
      </c>
      <c r="F24" s="2" t="str">
        <f>_xlfn.XLOOKUP(C24,customers!$A$1:$A$1001,customers!$B$1:$B$1001,,0)</f>
        <v>Annabel Antuk</v>
      </c>
      <c r="G24" s="2" t="str" cm="1">
        <f t="array" ref="G24">IF(_xlfn.XLOOKUP(C24,customers!A23:$A$1001,customers!C23:$C$1001,,0)=0,"",_xlfn.XLOOKUP(C24,customers!A23:$A$1001,customers!C23:$C$1001,,0))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2">
      <c r="A25" s="2" t="s">
        <v>620</v>
      </c>
      <c r="B25" s="3">
        <v>44603</v>
      </c>
      <c r="C25" s="2" t="s">
        <v>621</v>
      </c>
      <c r="D25" t="s">
        <v>6154</v>
      </c>
      <c r="E25" s="2">
        <v>4</v>
      </c>
      <c r="F25" s="2" t="str">
        <f>_xlfn.XLOOKUP(C25,customers!$A$1:$A$1001,customers!$B$1:$B$1001,,0)</f>
        <v>Iorgo Kleinert</v>
      </c>
      <c r="G25" s="2" t="str" cm="1">
        <f t="array" ref="G25">IF(_xlfn.XLOOKUP(C25,customers!A24:$A$1001,customers!C24:$C$1001,,0)=0,"",_xlfn.XLOOKUP(C25,customers!A24:$A$1001,customers!C24:$C$1001,,0))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2">
      <c r="A26" s="2" t="s">
        <v>626</v>
      </c>
      <c r="B26" s="3">
        <v>44454</v>
      </c>
      <c r="C26" s="2" t="s">
        <v>627</v>
      </c>
      <c r="D26" t="s">
        <v>6155</v>
      </c>
      <c r="E26" s="2">
        <v>1</v>
      </c>
      <c r="F26" s="2" t="str">
        <f>_xlfn.XLOOKUP(C26,customers!$A$1:$A$1001,customers!$B$1:$B$1001,,0)</f>
        <v>Chrisy Blofeld</v>
      </c>
      <c r="G26" s="2" t="str" cm="1">
        <f t="array" ref="G26">IF(_xlfn.XLOOKUP(C26,customers!A25:$A$1001,customers!C25:$C$1001,,0)=0,"",_xlfn.XLOOKUP(C26,customers!A25:$A$1001,customers!C25:$C$1001,,0))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2">
      <c r="A27" s="2" t="s">
        <v>632</v>
      </c>
      <c r="B27" s="3">
        <v>44128</v>
      </c>
      <c r="C27" s="2" t="s">
        <v>633</v>
      </c>
      <c r="D27" t="s">
        <v>6156</v>
      </c>
      <c r="E27" s="2">
        <v>3</v>
      </c>
      <c r="F27" s="2" t="str">
        <f>_xlfn.XLOOKUP(C27,customers!$A$1:$A$1001,customers!$B$1:$B$1001,,0)</f>
        <v>Culley Farris</v>
      </c>
      <c r="G27" s="2" t="str" cm="1">
        <f t="array" ref="G27">IF(_xlfn.XLOOKUP(C27,customers!A26:$A$1001,customers!C26:$C$1001,,0)=0,"",_xlfn.XLOOKUP(C27,customers!A26:$A$1001,customers!C26:$C$1001,,0))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2">
      <c r="A28" s="2" t="s">
        <v>637</v>
      </c>
      <c r="B28" s="3">
        <v>43516</v>
      </c>
      <c r="C28" s="2" t="s">
        <v>638</v>
      </c>
      <c r="D28" t="s">
        <v>6157</v>
      </c>
      <c r="E28" s="2">
        <v>4</v>
      </c>
      <c r="F28" s="2" t="str">
        <f>_xlfn.XLOOKUP(C28,customers!$A$1:$A$1001,customers!$B$1:$B$1001,,0)</f>
        <v>Selene Shales</v>
      </c>
      <c r="G28" s="2" t="str" cm="1">
        <f t="array" ref="G28">IF(_xlfn.XLOOKUP(C28,customers!A27:$A$1001,customers!C27:$C$1001,,0)=0,"",_xlfn.XLOOKUP(C28,customers!A27:$A$1001,customers!C27:$C$1001,,0))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2">
      <c r="A29" s="2" t="s">
        <v>643</v>
      </c>
      <c r="B29" s="3">
        <v>43746</v>
      </c>
      <c r="C29" s="2" t="s">
        <v>644</v>
      </c>
      <c r="D29" t="s">
        <v>6152</v>
      </c>
      <c r="E29" s="2">
        <v>5</v>
      </c>
      <c r="F29" s="2" t="str">
        <f>_xlfn.XLOOKUP(C29,customers!$A$1:$A$1001,customers!$B$1:$B$1001,,0)</f>
        <v>Vivie Danneil</v>
      </c>
      <c r="G29" s="2" t="str" cm="1">
        <f t="array" ref="G29">IF(_xlfn.XLOOKUP(C29,customers!A28:$A$1001,customers!C28:$C$1001,,0)=0,"",_xlfn.XLOOKUP(C29,customers!A28:$A$1001,customers!C28:$C$1001,,0))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2">
      <c r="A30" s="2" t="s">
        <v>649</v>
      </c>
      <c r="B30" s="3">
        <v>44775</v>
      </c>
      <c r="C30" s="2" t="s">
        <v>650</v>
      </c>
      <c r="D30" t="s">
        <v>6158</v>
      </c>
      <c r="E30" s="2">
        <v>3</v>
      </c>
      <c r="F30" s="2" t="str">
        <f>_xlfn.XLOOKUP(C30,customers!$A$1:$A$1001,customers!$B$1:$B$1001,,0)</f>
        <v>Theresita Newbury</v>
      </c>
      <c r="G30" s="2" t="str" cm="1">
        <f t="array" ref="G30">IF(_xlfn.XLOOKUP(C30,customers!A29:$A$1001,customers!C29:$C$1001,,0)=0,"",_xlfn.XLOOKUP(C30,customers!A29:$A$1001,customers!C29:$C$1001,,0))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2">
      <c r="A31" s="2" t="s">
        <v>655</v>
      </c>
      <c r="B31" s="3">
        <v>43516</v>
      </c>
      <c r="C31" s="2" t="s">
        <v>656</v>
      </c>
      <c r="D31" t="s">
        <v>6147</v>
      </c>
      <c r="E31" s="2">
        <v>4</v>
      </c>
      <c r="F31" s="2" t="str">
        <f>_xlfn.XLOOKUP(C31,customers!$A$1:$A$1001,customers!$B$1:$B$1001,,0)</f>
        <v>Mozelle Calcutt</v>
      </c>
      <c r="G31" s="2" t="str" cm="1">
        <f t="array" ref="G31">IF(_xlfn.XLOOKUP(C31,customers!A30:$A$1001,customers!C30:$C$1001,,0)=0,"",_xlfn.XLOOKUP(C31,customers!A30:$A$1001,customers!C30:$C$1001,,0))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2">
      <c r="A32" s="2" t="s">
        <v>661</v>
      </c>
      <c r="B32" s="3">
        <v>44464</v>
      </c>
      <c r="C32" s="2" t="s">
        <v>662</v>
      </c>
      <c r="D32" t="s">
        <v>6159</v>
      </c>
      <c r="E32" s="2">
        <v>5</v>
      </c>
      <c r="F32" s="2" t="str">
        <f>_xlfn.XLOOKUP(C32,customers!$A$1:$A$1001,customers!$B$1:$B$1001,,0)</f>
        <v>Adrian Swaine</v>
      </c>
      <c r="G32" s="2" t="str" cm="1">
        <f t="array" ref="G32">IF(_xlfn.XLOOKUP(C32,customers!A31:$A$1001,customers!C31:$C$1001,,0)=0,"",_xlfn.XLOOKUP(C32,customers!A31:$A$1001,customers!C31:$C$1001,,0))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2">
      <c r="A33" s="2" t="s">
        <v>661</v>
      </c>
      <c r="B33" s="3">
        <v>44464</v>
      </c>
      <c r="C33" s="2" t="s">
        <v>662</v>
      </c>
      <c r="D33" t="s">
        <v>6158</v>
      </c>
      <c r="E33" s="2">
        <v>6</v>
      </c>
      <c r="F33" s="2" t="str">
        <f>_xlfn.XLOOKUP(C33,customers!$A$1:$A$1001,customers!$B$1:$B$1001,,0)</f>
        <v>Adrian Swaine</v>
      </c>
      <c r="G33" s="2" t="str" cm="1">
        <f t="array" ref="G33">IF(_xlfn.XLOOKUP(C33,customers!A32:$A$1001,customers!C32:$C$1001,,0)=0,"",_xlfn.XLOOKUP(C33,customers!A32:$A$1001,customers!C32:$C$1001,,0))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2">
      <c r="A34" s="2" t="s">
        <v>661</v>
      </c>
      <c r="B34" s="3">
        <v>44464</v>
      </c>
      <c r="C34" s="2" t="s">
        <v>662</v>
      </c>
      <c r="D34" t="s">
        <v>6160</v>
      </c>
      <c r="E34" s="2">
        <v>6</v>
      </c>
      <c r="F34" s="2" t="str">
        <f>_xlfn.XLOOKUP(C34,customers!$A$1:$A$1001,customers!$B$1:$B$1001,,0)</f>
        <v>Adrian Swaine</v>
      </c>
      <c r="G34" s="2" t="e" cm="1">
        <f t="array" ref="G34">IF(_xlfn.XLOOKUP(C34,customers!A33:$A$1001,customers!C33:$C$1001,,0)=0,"",_xlfn.XLOOKUP(C34,customers!A33:$A$1001,customers!C33:$C$1001,,0))</f>
        <v>#N/A</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2">
      <c r="A35" s="2" t="s">
        <v>676</v>
      </c>
      <c r="B35" s="3">
        <v>44394</v>
      </c>
      <c r="C35" s="2" t="s">
        <v>677</v>
      </c>
      <c r="D35" t="s">
        <v>6145</v>
      </c>
      <c r="E35" s="2">
        <v>5</v>
      </c>
      <c r="F35" s="2" t="str">
        <f>_xlfn.XLOOKUP(C35,customers!$A$1:$A$1001,customers!$B$1:$B$1001,,0)</f>
        <v>Gallard Gatheral</v>
      </c>
      <c r="G35" s="2" t="str" cm="1">
        <f t="array" ref="G35">IF(_xlfn.XLOOKUP(C35,customers!A34:$A$1001,customers!C34:$C$1001,,0)=0,"",_xlfn.XLOOKUP(C35,customers!A34:$A$1001,customers!C34:$C$1001,,0))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2">
      <c r="A36" s="2" t="s">
        <v>681</v>
      </c>
      <c r="B36" s="3">
        <v>44011</v>
      </c>
      <c r="C36" s="2" t="s">
        <v>682</v>
      </c>
      <c r="D36" t="s">
        <v>6161</v>
      </c>
      <c r="E36" s="2">
        <v>6</v>
      </c>
      <c r="F36" s="2" t="str">
        <f>_xlfn.XLOOKUP(C36,customers!$A$1:$A$1001,customers!$B$1:$B$1001,,0)</f>
        <v>Una Welberry</v>
      </c>
      <c r="G36" s="2" t="str" cm="1">
        <f t="array" ref="G36">IF(_xlfn.XLOOKUP(C36,customers!A35:$A$1001,customers!C35:$C$1001,,0)=0,"",_xlfn.XLOOKUP(C36,customers!A35:$A$1001,customers!C35:$C$1001,,0))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2">
      <c r="A37" s="2" t="s">
        <v>687</v>
      </c>
      <c r="B37" s="3">
        <v>44348</v>
      </c>
      <c r="C37" s="2" t="s">
        <v>688</v>
      </c>
      <c r="D37" t="s">
        <v>6158</v>
      </c>
      <c r="E37" s="2">
        <v>6</v>
      </c>
      <c r="F37" s="2" t="str">
        <f>_xlfn.XLOOKUP(C37,customers!$A$1:$A$1001,customers!$B$1:$B$1001,,0)</f>
        <v>Faber Eilhart</v>
      </c>
      <c r="G37" s="2" t="str" cm="1">
        <f t="array" ref="G37">IF(_xlfn.XLOOKUP(C37,customers!A36:$A$1001,customers!C36:$C$1001,,0)=0,"",_xlfn.XLOOKUP(C37,customers!A36:$A$1001,customers!C36:$C$1001,,0))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2">
      <c r="A38" s="2" t="s">
        <v>693</v>
      </c>
      <c r="B38" s="3">
        <v>44233</v>
      </c>
      <c r="C38" s="2" t="s">
        <v>694</v>
      </c>
      <c r="D38" t="s">
        <v>6159</v>
      </c>
      <c r="E38" s="2">
        <v>2</v>
      </c>
      <c r="F38" s="2" t="str">
        <f>_xlfn.XLOOKUP(C38,customers!$A$1:$A$1001,customers!$B$1:$B$1001,,0)</f>
        <v>Zorina Ponting</v>
      </c>
      <c r="G38" s="2" t="str" cm="1">
        <f t="array" ref="G38">IF(_xlfn.XLOOKUP(C38,customers!A37:$A$1001,customers!C37:$C$1001,,0)=0,"",_xlfn.XLOOKUP(C38,customers!A37:$A$1001,customers!C37:$C$1001,,0))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2">
      <c r="A39" s="2" t="s">
        <v>699</v>
      </c>
      <c r="B39" s="3">
        <v>43580</v>
      </c>
      <c r="C39" s="2" t="s">
        <v>700</v>
      </c>
      <c r="D39" t="s">
        <v>6161</v>
      </c>
      <c r="E39" s="2">
        <v>3</v>
      </c>
      <c r="F39" s="2" t="str">
        <f>_xlfn.XLOOKUP(C39,customers!$A$1:$A$1001,customers!$B$1:$B$1001,,0)</f>
        <v>Silvio Strase</v>
      </c>
      <c r="G39" s="2" t="str" cm="1">
        <f t="array" ref="G39">IF(_xlfn.XLOOKUP(C39,customers!A38:$A$1001,customers!C38:$C$1001,,0)=0,"",_xlfn.XLOOKUP(C39,customers!A38:$A$1001,customers!C38:$C$1001,,0))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2">
      <c r="A40" s="2" t="s">
        <v>705</v>
      </c>
      <c r="B40" s="3">
        <v>43946</v>
      </c>
      <c r="C40" s="2" t="s">
        <v>706</v>
      </c>
      <c r="D40" t="s">
        <v>6151</v>
      </c>
      <c r="E40" s="2">
        <v>5</v>
      </c>
      <c r="F40" s="2" t="str">
        <f>_xlfn.XLOOKUP(C40,customers!$A$1:$A$1001,customers!$B$1:$B$1001,,0)</f>
        <v>Dorie de la Tremoille</v>
      </c>
      <c r="G40" s="2" t="str" cm="1">
        <f t="array" ref="G40">IF(_xlfn.XLOOKUP(C40,customers!A39:$A$1001,customers!C39:$C$1001,,0)=0,"",_xlfn.XLOOKUP(C40,customers!A39:$A$1001,customers!C39:$C$1001,,0))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2">
      <c r="A41" s="2" t="s">
        <v>711</v>
      </c>
      <c r="B41" s="3">
        <v>44524</v>
      </c>
      <c r="C41" s="2" t="s">
        <v>712</v>
      </c>
      <c r="D41" t="s">
        <v>6138</v>
      </c>
      <c r="E41" s="2">
        <v>6</v>
      </c>
      <c r="F41" s="2" t="str">
        <f>_xlfn.XLOOKUP(C41,customers!$A$1:$A$1001,customers!$B$1:$B$1001,,0)</f>
        <v>Hy Zanetto</v>
      </c>
      <c r="G41" s="2" t="str" cm="1">
        <f t="array" ref="G41">IF(_xlfn.XLOOKUP(C41,customers!A40:$A$1001,customers!C40:$C$1001,,0)=0,"",_xlfn.XLOOKUP(C41,customers!A40:$A$1001,customers!C40:$C$1001,,0))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2">
      <c r="A42" s="2" t="s">
        <v>715</v>
      </c>
      <c r="B42" s="3">
        <v>44305</v>
      </c>
      <c r="C42" s="2" t="s">
        <v>716</v>
      </c>
      <c r="D42" t="s">
        <v>6162</v>
      </c>
      <c r="E42" s="2">
        <v>3</v>
      </c>
      <c r="F42" s="2" t="str">
        <f>_xlfn.XLOOKUP(C42,customers!$A$1:$A$1001,customers!$B$1:$B$1001,,0)</f>
        <v>Jessica McNess</v>
      </c>
      <c r="G42" s="2" t="str" cm="1">
        <f t="array" ref="G42">IF(_xlfn.XLOOKUP(C42,customers!A41:$A$1001,customers!C41:$C$1001,,0)=0,"",_xlfn.XLOOKUP(C42,customers!A41:$A$1001,customers!C41:$C$1001,,0))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2">
      <c r="A43" s="2" t="s">
        <v>720</v>
      </c>
      <c r="B43" s="3">
        <v>44749</v>
      </c>
      <c r="C43" s="2" t="s">
        <v>721</v>
      </c>
      <c r="D43" t="s">
        <v>6153</v>
      </c>
      <c r="E43" s="2">
        <v>2</v>
      </c>
      <c r="F43" s="2" t="str">
        <f>_xlfn.XLOOKUP(C43,customers!$A$1:$A$1001,customers!$B$1:$B$1001,,0)</f>
        <v>Lorenzo Yeoland</v>
      </c>
      <c r="G43" s="2" t="str" cm="1">
        <f t="array" ref="G43">IF(_xlfn.XLOOKUP(C43,customers!A42:$A$1001,customers!C42:$C$1001,,0)=0,"",_xlfn.XLOOKUP(C43,customers!A42:$A$1001,customers!C42:$C$1001,,0))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2">
      <c r="A44" s="2" t="s">
        <v>726</v>
      </c>
      <c r="B44" s="3">
        <v>43607</v>
      </c>
      <c r="C44" s="2" t="s">
        <v>727</v>
      </c>
      <c r="D44" t="s">
        <v>6163</v>
      </c>
      <c r="E44" s="2">
        <v>3</v>
      </c>
      <c r="F44" s="2" t="str">
        <f>_xlfn.XLOOKUP(C44,customers!$A$1:$A$1001,customers!$B$1:$B$1001,,0)</f>
        <v>Abigail Tolworthy</v>
      </c>
      <c r="G44" s="2" t="str" cm="1">
        <f t="array" ref="G44">IF(_xlfn.XLOOKUP(C44,customers!A43:$A$1001,customers!C43:$C$1001,,0)=0,"",_xlfn.XLOOKUP(C44,customers!A43:$A$1001,customers!C43:$C$1001,,0))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2">
      <c r="A45" s="2" t="s">
        <v>733</v>
      </c>
      <c r="B45" s="3">
        <v>44473</v>
      </c>
      <c r="C45" s="2" t="s">
        <v>734</v>
      </c>
      <c r="D45" t="s">
        <v>6164</v>
      </c>
      <c r="E45" s="2">
        <v>2</v>
      </c>
      <c r="F45" s="2" t="str">
        <f>_xlfn.XLOOKUP(C45,customers!$A$1:$A$1001,customers!$B$1:$B$1001,,0)</f>
        <v>Maurie Bartol</v>
      </c>
      <c r="G45" s="2" t="str" cm="1">
        <f t="array" ref="G45">IF(_xlfn.XLOOKUP(C45,customers!A44:$A$1001,customers!C44:$C$1001,,0)=0,"",_xlfn.XLOOKUP(C45,customers!A44:$A$1001,customers!C44:$C$1001,,0))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2">
      <c r="A46" s="2" t="s">
        <v>738</v>
      </c>
      <c r="B46" s="3">
        <v>43932</v>
      </c>
      <c r="C46" s="2" t="s">
        <v>739</v>
      </c>
      <c r="D46" t="s">
        <v>6139</v>
      </c>
      <c r="E46" s="2">
        <v>2</v>
      </c>
      <c r="F46" s="2" t="str">
        <f>_xlfn.XLOOKUP(C46,customers!$A$1:$A$1001,customers!$B$1:$B$1001,,0)</f>
        <v>Olag Baudassi</v>
      </c>
      <c r="G46" s="2" t="str" cm="1">
        <f t="array" ref="G46">IF(_xlfn.XLOOKUP(C46,customers!A45:$A$1001,customers!C45:$C$1001,,0)=0,"",_xlfn.XLOOKUP(C46,customers!A45:$A$1001,customers!C45:$C$1001,,0))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2">
      <c r="A47" s="2" t="s">
        <v>744</v>
      </c>
      <c r="B47" s="3">
        <v>44592</v>
      </c>
      <c r="C47" s="2" t="s">
        <v>745</v>
      </c>
      <c r="D47" t="s">
        <v>6165</v>
      </c>
      <c r="E47" s="2">
        <v>6</v>
      </c>
      <c r="F47" s="2" t="str">
        <f>_xlfn.XLOOKUP(C47,customers!$A$1:$A$1001,customers!$B$1:$B$1001,,0)</f>
        <v>Petey Kingsbury</v>
      </c>
      <c r="G47" s="2" t="str" cm="1">
        <f t="array" ref="G47">IF(_xlfn.XLOOKUP(C47,customers!A46:$A$1001,customers!C46:$C$1001,,0)=0,"",_xlfn.XLOOKUP(C47,customers!A46:$A$1001,customers!C46:$C$1001,,0))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2">
      <c r="A48" s="2" t="s">
        <v>750</v>
      </c>
      <c r="B48" s="3">
        <v>43776</v>
      </c>
      <c r="C48" s="2" t="s">
        <v>751</v>
      </c>
      <c r="D48" t="s">
        <v>6166</v>
      </c>
      <c r="E48" s="2">
        <v>2</v>
      </c>
      <c r="F48" s="2" t="str">
        <f>_xlfn.XLOOKUP(C48,customers!$A$1:$A$1001,customers!$B$1:$B$1001,,0)</f>
        <v>Donna Baskeyfied</v>
      </c>
      <c r="G48" s="2" t="str" cm="1">
        <f t="array" ref="G48">IF(_xlfn.XLOOKUP(C48,customers!A47:$A$1001,customers!C47:$C$1001,,0)=0,"",_xlfn.XLOOKUP(C48,customers!A47:$A$1001,customers!C47:$C$1001,,0))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2">
      <c r="A49" s="2" t="s">
        <v>755</v>
      </c>
      <c r="B49" s="3">
        <v>43644</v>
      </c>
      <c r="C49" s="2" t="s">
        <v>756</v>
      </c>
      <c r="D49" t="s">
        <v>6167</v>
      </c>
      <c r="E49" s="2">
        <v>2</v>
      </c>
      <c r="F49" s="2" t="str">
        <f>_xlfn.XLOOKUP(C49,customers!$A$1:$A$1001,customers!$B$1:$B$1001,,0)</f>
        <v>Arda Curley</v>
      </c>
      <c r="G49" s="2" t="str" cm="1">
        <f t="array" ref="G49">IF(_xlfn.XLOOKUP(C49,customers!A48:$A$1001,customers!C48:$C$1001,,0)=0,"",_xlfn.XLOOKUP(C49,customers!A48:$A$1001,customers!C48:$C$1001,,0))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2">
      <c r="A50" s="2" t="s">
        <v>761</v>
      </c>
      <c r="B50" s="3">
        <v>44085</v>
      </c>
      <c r="C50" s="2" t="s">
        <v>762</v>
      </c>
      <c r="D50" t="s">
        <v>6168</v>
      </c>
      <c r="E50" s="2">
        <v>4</v>
      </c>
      <c r="F50" s="2" t="str">
        <f>_xlfn.XLOOKUP(C50,customers!$A$1:$A$1001,customers!$B$1:$B$1001,,0)</f>
        <v>Raynor McGilvary</v>
      </c>
      <c r="G50" s="2" t="str" cm="1">
        <f t="array" ref="G50">IF(_xlfn.XLOOKUP(C50,customers!A49:$A$1001,customers!C49:$C$1001,,0)=0,"",_xlfn.XLOOKUP(C50,customers!A49:$A$1001,customers!C49:$C$1001,,0))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2">
      <c r="A51" s="2" t="s">
        <v>766</v>
      </c>
      <c r="B51" s="3">
        <v>44790</v>
      </c>
      <c r="C51" s="2" t="s">
        <v>767</v>
      </c>
      <c r="D51" t="s">
        <v>6140</v>
      </c>
      <c r="E51" s="2">
        <v>3</v>
      </c>
      <c r="F51" s="2" t="str">
        <f>_xlfn.XLOOKUP(C51,customers!$A$1:$A$1001,customers!$B$1:$B$1001,,0)</f>
        <v>Isis Pikett</v>
      </c>
      <c r="G51" s="2" t="str" cm="1">
        <f t="array" ref="G51">IF(_xlfn.XLOOKUP(C51,customers!A50:$A$1001,customers!C50:$C$1001,,0)=0,"",_xlfn.XLOOKUP(C51,customers!A50:$A$1001,customers!C50:$C$1001,,0))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2">
      <c r="A52" s="2" t="s">
        <v>772</v>
      </c>
      <c r="B52" s="3">
        <v>44792</v>
      </c>
      <c r="C52" s="2" t="s">
        <v>773</v>
      </c>
      <c r="D52" t="s">
        <v>6169</v>
      </c>
      <c r="E52" s="2">
        <v>2</v>
      </c>
      <c r="F52" s="2" t="str">
        <f>_xlfn.XLOOKUP(C52,customers!$A$1:$A$1001,customers!$B$1:$B$1001,,0)</f>
        <v>Inger Bouldon</v>
      </c>
      <c r="G52" s="2" t="str" cm="1">
        <f t="array" ref="G52">IF(_xlfn.XLOOKUP(C52,customers!A51:$A$1001,customers!C51:$C$1001,,0)=0,"",_xlfn.XLOOKUP(C52,customers!A51:$A$1001,customers!C51:$C$1001,,0))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2">
      <c r="A53" s="2" t="s">
        <v>778</v>
      </c>
      <c r="B53" s="3">
        <v>43600</v>
      </c>
      <c r="C53" s="2" t="s">
        <v>779</v>
      </c>
      <c r="D53" t="s">
        <v>6164</v>
      </c>
      <c r="E53" s="2">
        <v>4</v>
      </c>
      <c r="F53" s="2" t="str">
        <f>_xlfn.XLOOKUP(C53,customers!$A$1:$A$1001,customers!$B$1:$B$1001,,0)</f>
        <v>Karry Flanders</v>
      </c>
      <c r="G53" s="2" t="str" cm="1">
        <f t="array" ref="G53">IF(_xlfn.XLOOKUP(C53,customers!A52:$A$1001,customers!C52:$C$1001,,0)=0,"",_xlfn.XLOOKUP(C53,customers!A52:$A$1001,customers!C52:$C$1001,,0))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2">
      <c r="A54" s="2" t="s">
        <v>784</v>
      </c>
      <c r="B54" s="3">
        <v>43719</v>
      </c>
      <c r="C54" s="2" t="s">
        <v>785</v>
      </c>
      <c r="D54" t="s">
        <v>6146</v>
      </c>
      <c r="E54" s="2">
        <v>5</v>
      </c>
      <c r="F54" s="2" t="str">
        <f>_xlfn.XLOOKUP(C54,customers!$A$1:$A$1001,customers!$B$1:$B$1001,,0)</f>
        <v>Hartley Mattioli</v>
      </c>
      <c r="G54" s="2" t="str" cm="1">
        <f t="array" ref="G54">IF(_xlfn.XLOOKUP(C54,customers!A53:$A$1001,customers!C53:$C$1001,,0)=0,"",_xlfn.XLOOKUP(C54,customers!A53:$A$1001,customers!C53:$C$1001,,0))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2">
      <c r="A55" s="2" t="s">
        <v>784</v>
      </c>
      <c r="B55" s="3">
        <v>43719</v>
      </c>
      <c r="C55" s="2" t="s">
        <v>785</v>
      </c>
      <c r="D55" t="s">
        <v>6164</v>
      </c>
      <c r="E55" s="2">
        <v>2</v>
      </c>
      <c r="F55" s="2" t="str">
        <f>_xlfn.XLOOKUP(C55,customers!$A$1:$A$1001,customers!$B$1:$B$1001,,0)</f>
        <v>Hartley Mattioli</v>
      </c>
      <c r="G55" s="2" t="str" cm="1">
        <f t="array" ref="G55">IF(_xlfn.XLOOKUP(C55,customers!A54:$A$1001,customers!C54:$C$1001,,0)=0,"",_xlfn.XLOOKUP(C55,customers!A54:$A$1001,customers!C54:$C$1001,,0))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2">
      <c r="A56" s="2" t="s">
        <v>794</v>
      </c>
      <c r="B56" s="3">
        <v>44271</v>
      </c>
      <c r="C56" s="2" t="s">
        <v>795</v>
      </c>
      <c r="D56" t="s">
        <v>6162</v>
      </c>
      <c r="E56" s="2">
        <v>5</v>
      </c>
      <c r="F56" s="2" t="str">
        <f>_xlfn.XLOOKUP(C56,customers!$A$1:$A$1001,customers!$B$1:$B$1001,,0)</f>
        <v>Archambault Gillard</v>
      </c>
      <c r="G56" s="2" t="str" cm="1">
        <f t="array" ref="G56">IF(_xlfn.XLOOKUP(C56,customers!A55:$A$1001,customers!C55:$C$1001,,0)=0,"",_xlfn.XLOOKUP(C56,customers!A55:$A$1001,customers!C55:$C$1001,,0))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2">
      <c r="A57" s="2" t="s">
        <v>800</v>
      </c>
      <c r="B57" s="3">
        <v>44168</v>
      </c>
      <c r="C57" s="2" t="s">
        <v>801</v>
      </c>
      <c r="D57" t="s">
        <v>6170</v>
      </c>
      <c r="E57" s="2">
        <v>3</v>
      </c>
      <c r="F57" s="2" t="str">
        <f>_xlfn.XLOOKUP(C57,customers!$A$1:$A$1001,customers!$B$1:$B$1001,,0)</f>
        <v>Salomo Cushworth</v>
      </c>
      <c r="G57" s="2" t="str" cm="1">
        <f t="array" ref="G57">IF(_xlfn.XLOOKUP(C57,customers!A56:$A$1001,customers!C56:$C$1001,,0)=0,"",_xlfn.XLOOKUP(C57,customers!A56:$A$1001,customers!C56:$C$1001,,0))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2">
      <c r="A58" s="2" t="s">
        <v>805</v>
      </c>
      <c r="B58" s="3">
        <v>43857</v>
      </c>
      <c r="C58" s="2" t="s">
        <v>806</v>
      </c>
      <c r="D58" t="s">
        <v>6153</v>
      </c>
      <c r="E58" s="2">
        <v>3</v>
      </c>
      <c r="F58" s="2" t="str">
        <f>_xlfn.XLOOKUP(C58,customers!$A$1:$A$1001,customers!$B$1:$B$1001,,0)</f>
        <v>Theda Grizard</v>
      </c>
      <c r="G58" s="2" t="str" cm="1">
        <f t="array" ref="G58">IF(_xlfn.XLOOKUP(C58,customers!A57:$A$1001,customers!C57:$C$1001,,0)=0,"",_xlfn.XLOOKUP(C58,customers!A57:$A$1001,customers!C57:$C$1001,,0))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2">
      <c r="A59" s="2" t="s">
        <v>811</v>
      </c>
      <c r="B59" s="3">
        <v>44759</v>
      </c>
      <c r="C59" s="2" t="s">
        <v>812</v>
      </c>
      <c r="D59" t="s">
        <v>6171</v>
      </c>
      <c r="E59" s="2">
        <v>4</v>
      </c>
      <c r="F59" s="2" t="str">
        <f>_xlfn.XLOOKUP(C59,customers!$A$1:$A$1001,customers!$B$1:$B$1001,,0)</f>
        <v>Rozele Relton</v>
      </c>
      <c r="G59" s="2" t="str" cm="1">
        <f t="array" ref="G59">IF(_xlfn.XLOOKUP(C59,customers!A58:$A$1001,customers!C58:$C$1001,,0)=0,"",_xlfn.XLOOKUP(C59,customers!A58:$A$1001,customers!C58:$C$1001,,0))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2">
      <c r="A60" s="2" t="s">
        <v>817</v>
      </c>
      <c r="B60" s="3">
        <v>44624</v>
      </c>
      <c r="C60" s="2" t="s">
        <v>818</v>
      </c>
      <c r="D60" t="s">
        <v>6165</v>
      </c>
      <c r="E60" s="2">
        <v>3</v>
      </c>
      <c r="F60" s="2" t="str">
        <f>_xlfn.XLOOKUP(C60,customers!$A$1:$A$1001,customers!$B$1:$B$1001,,0)</f>
        <v>Willa Rolling</v>
      </c>
      <c r="G60" s="2" t="str" cm="1">
        <f t="array" ref="G60">IF(_xlfn.XLOOKUP(C60,customers!A59:$A$1001,customers!C59:$C$1001,,0)=0,"",_xlfn.XLOOKUP(C60,customers!A59:$A$1001,customers!C59:$C$1001,,0))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2">
      <c r="A61" s="2" t="s">
        <v>822</v>
      </c>
      <c r="B61" s="3">
        <v>44537</v>
      </c>
      <c r="C61" s="2" t="s">
        <v>823</v>
      </c>
      <c r="D61" t="s">
        <v>6160</v>
      </c>
      <c r="E61" s="2">
        <v>3</v>
      </c>
      <c r="F61" s="2" t="str">
        <f>_xlfn.XLOOKUP(C61,customers!$A$1:$A$1001,customers!$B$1:$B$1001,,0)</f>
        <v>Stanislaus Gilroy</v>
      </c>
      <c r="G61" s="2" t="str" cm="1">
        <f t="array" ref="G61">IF(_xlfn.XLOOKUP(C61,customers!A60:$A$1001,customers!C60:$C$1001,,0)=0,"",_xlfn.XLOOKUP(C61,customers!A60:$A$1001,customers!C60:$C$1001,,0))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2">
      <c r="A62" s="2" t="s">
        <v>827</v>
      </c>
      <c r="B62" s="3">
        <v>44252</v>
      </c>
      <c r="C62" s="2" t="s">
        <v>828</v>
      </c>
      <c r="D62" t="s">
        <v>6168</v>
      </c>
      <c r="E62" s="2">
        <v>5</v>
      </c>
      <c r="F62" s="2" t="str">
        <f>_xlfn.XLOOKUP(C62,customers!$A$1:$A$1001,customers!$B$1:$B$1001,,0)</f>
        <v>Correy Cottingham</v>
      </c>
      <c r="G62" s="2" t="str" cm="1">
        <f t="array" ref="G62">IF(_xlfn.XLOOKUP(C62,customers!A61:$A$1001,customers!C61:$C$1001,,0)=0,"",_xlfn.XLOOKUP(C62,customers!A61:$A$1001,customers!C61:$C$1001,,0))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2">
      <c r="A63" s="2" t="s">
        <v>833</v>
      </c>
      <c r="B63" s="3">
        <v>43521</v>
      </c>
      <c r="C63" s="2" t="s">
        <v>834</v>
      </c>
      <c r="D63" t="s">
        <v>6172</v>
      </c>
      <c r="E63" s="2">
        <v>5</v>
      </c>
      <c r="F63" s="2" t="str">
        <f>_xlfn.XLOOKUP(C63,customers!$A$1:$A$1001,customers!$B$1:$B$1001,,0)</f>
        <v>Pammi Endacott</v>
      </c>
      <c r="G63" s="2" t="str" cm="1">
        <f t="array" ref="G63">IF(_xlfn.XLOOKUP(C63,customers!A62:$A$1001,customers!C62:$C$1001,,0)=0,"",_xlfn.XLOOKUP(C63,customers!A62:$A$1001,customers!C62:$C$1001,,0))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2">
      <c r="A64" s="2" t="s">
        <v>838</v>
      </c>
      <c r="B64" s="3">
        <v>43505</v>
      </c>
      <c r="C64" s="2" t="s">
        <v>839</v>
      </c>
      <c r="D64" t="s">
        <v>6145</v>
      </c>
      <c r="E64" s="2">
        <v>5</v>
      </c>
      <c r="F64" s="2" t="str">
        <f>_xlfn.XLOOKUP(C64,customers!$A$1:$A$1001,customers!$B$1:$B$1001,,0)</f>
        <v>Nona Linklater</v>
      </c>
      <c r="G64" s="2" t="str" cm="1">
        <f t="array" ref="G64">IF(_xlfn.XLOOKUP(C64,customers!A63:$A$1001,customers!C63:$C$1001,,0)=0,"",_xlfn.XLOOKUP(C64,customers!A63:$A$1001,customers!C63:$C$1001,,0))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2">
      <c r="A65" s="2" t="s">
        <v>843</v>
      </c>
      <c r="B65" s="3">
        <v>43868</v>
      </c>
      <c r="C65" s="2" t="s">
        <v>844</v>
      </c>
      <c r="D65" t="s">
        <v>6157</v>
      </c>
      <c r="E65" s="2">
        <v>1</v>
      </c>
      <c r="F65" s="2" t="str">
        <f>_xlfn.XLOOKUP(C65,customers!$A$1:$A$1001,customers!$B$1:$B$1001,,0)</f>
        <v>Annadiane Dykes</v>
      </c>
      <c r="G65" s="2" t="str" cm="1">
        <f t="array" ref="G65">IF(_xlfn.XLOOKUP(C65,customers!A64:$A$1001,customers!C64:$C$1001,,0)=0,"",_xlfn.XLOOKUP(C65,customers!A64:$A$1001,customers!C64:$C$1001,,0))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2">
      <c r="A66" s="2" t="s">
        <v>849</v>
      </c>
      <c r="B66" s="3">
        <v>43913</v>
      </c>
      <c r="C66" s="2" t="s">
        <v>850</v>
      </c>
      <c r="D66" t="s">
        <v>6146</v>
      </c>
      <c r="E66" s="2">
        <v>6</v>
      </c>
      <c r="F66" s="2" t="str">
        <f>_xlfn.XLOOKUP(C66,customers!$A$1:$A$1001,customers!$B$1:$B$1001,,0)</f>
        <v>Felecia Dodgson</v>
      </c>
      <c r="G66" s="2" t="str" cm="1">
        <f t="array" ref="G66">IF(_xlfn.XLOOKUP(C66,customers!A65:$A$1001,customers!C65:$C$1001,,0)=0,"",_xlfn.XLOOKUP(C66,customers!A65:$A$1001,customers!C65:$C$1001,,0))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2">
      <c r="A67" s="2" t="s">
        <v>854</v>
      </c>
      <c r="B67" s="3">
        <v>44626</v>
      </c>
      <c r="C67" s="2" t="s">
        <v>855</v>
      </c>
      <c r="D67" t="s">
        <v>6149</v>
      </c>
      <c r="E67" s="2">
        <v>4</v>
      </c>
      <c r="F67" s="2" t="str">
        <f>_xlfn.XLOOKUP(C67,customers!$A$1:$A$1001,customers!$B$1:$B$1001,,0)</f>
        <v>Angelia Cockrem</v>
      </c>
      <c r="G67" s="2" t="str" cm="1">
        <f t="array" ref="G67">IF(_xlfn.XLOOKUP(C67,customers!A66:$A$1001,customers!C66:$C$1001,,0)=0,"",_xlfn.XLOOKUP(C67,customers!A66:$A$1001,customers!C66:$C$1001,,0))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 "Robusta", IF(I67="Exc", "Excelsa", IF(I67="Ara", "Arabica", IF(I67="Lib", "Liberica", ""))))</f>
        <v>Robusta</v>
      </c>
      <c r="O67" t="str">
        <f t="shared" ref="O67:O130" si="5">IF(J67="M", "Medium", IF(J67="L", "Light", IF(J67="D", "Dark", "")))</f>
        <v>Dark</v>
      </c>
      <c r="P67" t="str">
        <f>_xlfn.XLOOKUP(Orders[[#This Row],[Customer ID]],customers!$A$1:$A$1001,customers!$I$1:$I$1001,,0)</f>
        <v>Yes</v>
      </c>
    </row>
    <row r="68" spans="1:16" x14ac:dyDescent="0.2">
      <c r="A68" s="2" t="s">
        <v>860</v>
      </c>
      <c r="B68" s="3">
        <v>44666</v>
      </c>
      <c r="C68" s="2" t="s">
        <v>861</v>
      </c>
      <c r="D68" t="s">
        <v>6173</v>
      </c>
      <c r="E68" s="2">
        <v>1</v>
      </c>
      <c r="F68" s="2" t="str">
        <f>_xlfn.XLOOKUP(C68,customers!$A$1:$A$1001,customers!$B$1:$B$1001,,0)</f>
        <v>Belvia Umpleby</v>
      </c>
      <c r="G68" s="2" t="str" cm="1">
        <f t="array" ref="G68">IF(_xlfn.XLOOKUP(C68,customers!A67:$A$1001,customers!C67:$C$1001,,0)=0,"",_xlfn.XLOOKUP(C68,customers!A67:$A$1001,customers!C67:$C$1001,,0))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2">
      <c r="A69" s="2" t="s">
        <v>866</v>
      </c>
      <c r="B69" s="3">
        <v>44519</v>
      </c>
      <c r="C69" s="2" t="s">
        <v>867</v>
      </c>
      <c r="D69" t="s">
        <v>6145</v>
      </c>
      <c r="E69" s="2">
        <v>2</v>
      </c>
      <c r="F69" s="2" t="str">
        <f>_xlfn.XLOOKUP(C69,customers!$A$1:$A$1001,customers!$B$1:$B$1001,,0)</f>
        <v>Nat Saleway</v>
      </c>
      <c r="G69" s="2" t="str" cm="1">
        <f t="array" ref="G69">IF(_xlfn.XLOOKUP(C69,customers!A68:$A$1001,customers!C68:$C$1001,,0)=0,"",_xlfn.XLOOKUP(C69,customers!A68:$A$1001,customers!C68:$C$1001,,0))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2">
      <c r="A70" s="2" t="s">
        <v>872</v>
      </c>
      <c r="B70" s="3">
        <v>43754</v>
      </c>
      <c r="C70" s="2" t="s">
        <v>873</v>
      </c>
      <c r="D70" t="s">
        <v>6174</v>
      </c>
      <c r="E70" s="2">
        <v>1</v>
      </c>
      <c r="F70" s="2" t="str">
        <f>_xlfn.XLOOKUP(C70,customers!$A$1:$A$1001,customers!$B$1:$B$1001,,0)</f>
        <v>Hayward Goulter</v>
      </c>
      <c r="G70" s="2" t="str" cm="1">
        <f t="array" ref="G70">IF(_xlfn.XLOOKUP(C70,customers!A69:$A$1001,customers!C69:$C$1001,,0)=0,"",_xlfn.XLOOKUP(C70,customers!A69:$A$1001,customers!C69:$C$1001,,0))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2">
      <c r="A71" s="2" t="s">
        <v>878</v>
      </c>
      <c r="B71" s="3">
        <v>43795</v>
      </c>
      <c r="C71" s="2" t="s">
        <v>879</v>
      </c>
      <c r="D71" t="s">
        <v>6138</v>
      </c>
      <c r="E71" s="2">
        <v>6</v>
      </c>
      <c r="F71" s="2" t="str">
        <f>_xlfn.XLOOKUP(C71,customers!$A$1:$A$1001,customers!$B$1:$B$1001,,0)</f>
        <v>Gay Rizzello</v>
      </c>
      <c r="G71" s="2" t="str" cm="1">
        <f t="array" ref="G71">IF(_xlfn.XLOOKUP(C71,customers!A70:$A$1001,customers!C70:$C$1001,,0)=0,"",_xlfn.XLOOKUP(C71,customers!A70:$A$1001,customers!C70:$C$1001,,0))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2">
      <c r="A72" s="2" t="s">
        <v>885</v>
      </c>
      <c r="B72" s="3">
        <v>43646</v>
      </c>
      <c r="C72" s="2" t="s">
        <v>886</v>
      </c>
      <c r="D72" t="s">
        <v>6148</v>
      </c>
      <c r="E72" s="2">
        <v>4</v>
      </c>
      <c r="F72" s="2" t="str">
        <f>_xlfn.XLOOKUP(C72,customers!$A$1:$A$1001,customers!$B$1:$B$1001,,0)</f>
        <v>Shannon List</v>
      </c>
      <c r="G72" s="2" t="str" cm="1">
        <f t="array" ref="G72">IF(_xlfn.XLOOKUP(C72,customers!A71:$A$1001,customers!C71:$C$1001,,0)=0,"",_xlfn.XLOOKUP(C72,customers!A71:$A$1001,customers!C71:$C$1001,,0))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2">
      <c r="A73" s="2" t="s">
        <v>891</v>
      </c>
      <c r="B73" s="3">
        <v>44200</v>
      </c>
      <c r="C73" s="2" t="s">
        <v>892</v>
      </c>
      <c r="D73" t="s">
        <v>6145</v>
      </c>
      <c r="E73" s="2">
        <v>2</v>
      </c>
      <c r="F73" s="2" t="str">
        <f>_xlfn.XLOOKUP(C73,customers!$A$1:$A$1001,customers!$B$1:$B$1001,,0)</f>
        <v>Shirlene Edmondson</v>
      </c>
      <c r="G73" s="2" t="str" cm="1">
        <f t="array" ref="G73">IF(_xlfn.XLOOKUP(C73,customers!A72:$A$1001,customers!C72:$C$1001,,0)=0,"",_xlfn.XLOOKUP(C73,customers!A72:$A$1001,customers!C72:$C$1001,,0))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2">
      <c r="A74" s="2" t="s">
        <v>897</v>
      </c>
      <c r="B74" s="3">
        <v>44131</v>
      </c>
      <c r="C74" s="2" t="s">
        <v>898</v>
      </c>
      <c r="D74" t="s">
        <v>6175</v>
      </c>
      <c r="E74" s="2">
        <v>3</v>
      </c>
      <c r="F74" s="2" t="str">
        <f>_xlfn.XLOOKUP(C74,customers!$A$1:$A$1001,customers!$B$1:$B$1001,,0)</f>
        <v>Aurlie McCarl</v>
      </c>
      <c r="G74" s="2" t="str" cm="1">
        <f t="array" ref="G74">IF(_xlfn.XLOOKUP(C74,customers!A73:$A$1001,customers!C73:$C$1001,,0)=0,"",_xlfn.XLOOKUP(C74,customers!A73:$A$1001,customers!C73:$C$1001,,0))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2">
      <c r="A75" s="2" t="s">
        <v>902</v>
      </c>
      <c r="B75" s="3">
        <v>44362</v>
      </c>
      <c r="C75" s="2" t="s">
        <v>903</v>
      </c>
      <c r="D75" t="s">
        <v>6159</v>
      </c>
      <c r="E75" s="2">
        <v>5</v>
      </c>
      <c r="F75" s="2" t="str">
        <f>_xlfn.XLOOKUP(C75,customers!$A$1:$A$1001,customers!$B$1:$B$1001,,0)</f>
        <v>Alikee Carryer</v>
      </c>
      <c r="G75" s="2" t="str" cm="1">
        <f t="array" ref="G75">IF(_xlfn.XLOOKUP(C75,customers!A74:$A$1001,customers!C74:$C$1001,,0)=0,"",_xlfn.XLOOKUP(C75,customers!A74:$A$1001,customers!C74:$C$1001,,0))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2">
      <c r="A76" s="2" t="s">
        <v>907</v>
      </c>
      <c r="B76" s="3">
        <v>44396</v>
      </c>
      <c r="C76" s="2" t="s">
        <v>908</v>
      </c>
      <c r="D76" t="s">
        <v>6176</v>
      </c>
      <c r="E76" s="2">
        <v>2</v>
      </c>
      <c r="F76" s="2" t="str">
        <f>_xlfn.XLOOKUP(C76,customers!$A$1:$A$1001,customers!$B$1:$B$1001,,0)</f>
        <v>Jennifer Rangall</v>
      </c>
      <c r="G76" s="2" t="str" cm="1">
        <f t="array" ref="G76">IF(_xlfn.XLOOKUP(C76,customers!A75:$A$1001,customers!C75:$C$1001,,0)=0,"",_xlfn.XLOOKUP(C76,customers!A75:$A$1001,customers!C75:$C$1001,,0))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2">
      <c r="A77" s="2" t="s">
        <v>913</v>
      </c>
      <c r="B77" s="3">
        <v>44400</v>
      </c>
      <c r="C77" s="2" t="s">
        <v>914</v>
      </c>
      <c r="D77" t="s">
        <v>6177</v>
      </c>
      <c r="E77" s="2">
        <v>6</v>
      </c>
      <c r="F77" s="2" t="str">
        <f>_xlfn.XLOOKUP(C77,customers!$A$1:$A$1001,customers!$B$1:$B$1001,,0)</f>
        <v>Kipper Boorn</v>
      </c>
      <c r="G77" s="2" t="str" cm="1">
        <f t="array" ref="G77">IF(_xlfn.XLOOKUP(C77,customers!A76:$A$1001,customers!C76:$C$1001,,0)=0,"",_xlfn.XLOOKUP(C77,customers!A76:$A$1001,customers!C76:$C$1001,,0))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2">
      <c r="A78" s="2" t="s">
        <v>919</v>
      </c>
      <c r="B78" s="3">
        <v>43855</v>
      </c>
      <c r="C78" s="2" t="s">
        <v>920</v>
      </c>
      <c r="D78" t="s">
        <v>6178</v>
      </c>
      <c r="E78" s="2">
        <v>1</v>
      </c>
      <c r="F78" s="2" t="str">
        <f>_xlfn.XLOOKUP(C78,customers!$A$1:$A$1001,customers!$B$1:$B$1001,,0)</f>
        <v>Melania Beadle</v>
      </c>
      <c r="G78" s="2" t="str" cm="1">
        <f t="array" ref="G78">IF(_xlfn.XLOOKUP(C78,customers!A77:$A$1001,customers!C77:$C$1001,,0)=0,"",_xlfn.XLOOKUP(C78,customers!A77:$A$1001,customers!C77:$C$1001,,0))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2">
      <c r="A79" s="2" t="s">
        <v>924</v>
      </c>
      <c r="B79" s="3">
        <v>43594</v>
      </c>
      <c r="C79" s="2" t="s">
        <v>925</v>
      </c>
      <c r="D79" t="s">
        <v>6153</v>
      </c>
      <c r="E79" s="2">
        <v>2</v>
      </c>
      <c r="F79" s="2" t="str">
        <f>_xlfn.XLOOKUP(C79,customers!$A$1:$A$1001,customers!$B$1:$B$1001,,0)</f>
        <v>Colene Elgey</v>
      </c>
      <c r="G79" s="2" t="str" cm="1">
        <f t="array" ref="G79">IF(_xlfn.XLOOKUP(C79,customers!A78:$A$1001,customers!C78:$C$1001,,0)=0,"",_xlfn.XLOOKUP(C79,customers!A78:$A$1001,customers!C78:$C$1001,,0))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2">
      <c r="A80" s="2" t="s">
        <v>930</v>
      </c>
      <c r="B80" s="3">
        <v>43920</v>
      </c>
      <c r="C80" s="2" t="s">
        <v>931</v>
      </c>
      <c r="D80" t="s">
        <v>6157</v>
      </c>
      <c r="E80" s="2">
        <v>6</v>
      </c>
      <c r="F80" s="2" t="str">
        <f>_xlfn.XLOOKUP(C80,customers!$A$1:$A$1001,customers!$B$1:$B$1001,,0)</f>
        <v>Lothaire Mizzi</v>
      </c>
      <c r="G80" s="2" t="str" cm="1">
        <f t="array" ref="G80">IF(_xlfn.XLOOKUP(C80,customers!A79:$A$1001,customers!C79:$C$1001,,0)=0,"",_xlfn.XLOOKUP(C80,customers!A79:$A$1001,customers!C79:$C$1001,,0))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2">
      <c r="A81" s="2" t="s">
        <v>936</v>
      </c>
      <c r="B81" s="3">
        <v>44633</v>
      </c>
      <c r="C81" s="2" t="s">
        <v>937</v>
      </c>
      <c r="D81" t="s">
        <v>6179</v>
      </c>
      <c r="E81" s="2">
        <v>4</v>
      </c>
      <c r="F81" s="2" t="str">
        <f>_xlfn.XLOOKUP(C81,customers!$A$1:$A$1001,customers!$B$1:$B$1001,,0)</f>
        <v>Cletis Giacomazzo</v>
      </c>
      <c r="G81" s="2" t="str" cm="1">
        <f t="array" ref="G81">IF(_xlfn.XLOOKUP(C81,customers!A80:$A$1001,customers!C80:$C$1001,,0)=0,"",_xlfn.XLOOKUP(C81,customers!A80:$A$1001,customers!C80:$C$1001,,0))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2">
      <c r="A82" s="2" t="s">
        <v>942</v>
      </c>
      <c r="B82" s="3">
        <v>43572</v>
      </c>
      <c r="C82" s="2" t="s">
        <v>943</v>
      </c>
      <c r="D82" t="s">
        <v>6180</v>
      </c>
      <c r="E82" s="2">
        <v>5</v>
      </c>
      <c r="F82" s="2" t="str">
        <f>_xlfn.XLOOKUP(C82,customers!$A$1:$A$1001,customers!$B$1:$B$1001,,0)</f>
        <v>Ami Arnow</v>
      </c>
      <c r="G82" s="2" t="str" cm="1">
        <f t="array" ref="G82">IF(_xlfn.XLOOKUP(C82,customers!A81:$A$1001,customers!C81:$C$1001,,0)=0,"",_xlfn.XLOOKUP(C82,customers!A81:$A$1001,customers!C81:$C$1001,,0))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2">
      <c r="A83" s="2" t="s">
        <v>948</v>
      </c>
      <c r="B83" s="3">
        <v>43763</v>
      </c>
      <c r="C83" s="2" t="s">
        <v>949</v>
      </c>
      <c r="D83" t="s">
        <v>6164</v>
      </c>
      <c r="E83" s="2">
        <v>3</v>
      </c>
      <c r="F83" s="2" t="str">
        <f>_xlfn.XLOOKUP(C83,customers!$A$1:$A$1001,customers!$B$1:$B$1001,,0)</f>
        <v>Sheppard Yann</v>
      </c>
      <c r="G83" s="2" t="str" cm="1">
        <f t="array" ref="G83">IF(_xlfn.XLOOKUP(C83,customers!A82:$A$1001,customers!C82:$C$1001,,0)=0,"",_xlfn.XLOOKUP(C83,customers!A82:$A$1001,customers!C82:$C$1001,,0))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2">
      <c r="A84" s="2" t="s">
        <v>954</v>
      </c>
      <c r="B84" s="3">
        <v>43721</v>
      </c>
      <c r="C84" s="2" t="s">
        <v>955</v>
      </c>
      <c r="D84" t="s">
        <v>6181</v>
      </c>
      <c r="E84" s="2">
        <v>3</v>
      </c>
      <c r="F84" s="2" t="str">
        <f>_xlfn.XLOOKUP(C84,customers!$A$1:$A$1001,customers!$B$1:$B$1001,,0)</f>
        <v>Bunny Naulls</v>
      </c>
      <c r="G84" s="2" t="str" cm="1">
        <f t="array" ref="G84">IF(_xlfn.XLOOKUP(C84,customers!A83:$A$1001,customers!C83:$C$1001,,0)=0,"",_xlfn.XLOOKUP(C84,customers!A83:$A$1001,customers!C83:$C$1001,,0))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2">
      <c r="A85" s="2" t="s">
        <v>960</v>
      </c>
      <c r="B85" s="3">
        <v>43933</v>
      </c>
      <c r="C85" s="2" t="s">
        <v>961</v>
      </c>
      <c r="D85" t="s">
        <v>6149</v>
      </c>
      <c r="E85" s="2">
        <v>4</v>
      </c>
      <c r="F85" s="2" t="str">
        <f>_xlfn.XLOOKUP(C85,customers!$A$1:$A$1001,customers!$B$1:$B$1001,,0)</f>
        <v>Hally Lorait</v>
      </c>
      <c r="G85" s="2" t="str" cm="1">
        <f t="array" ref="G85">IF(_xlfn.XLOOKUP(C85,customers!A84:$A$1001,customers!C84:$C$1001,,0)=0,"",_xlfn.XLOOKUP(C85,customers!A84:$A$1001,customers!C84:$C$1001,,0))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2">
      <c r="A86" s="2" t="s">
        <v>965</v>
      </c>
      <c r="B86" s="3">
        <v>43783</v>
      </c>
      <c r="C86" s="2" t="s">
        <v>966</v>
      </c>
      <c r="D86" t="s">
        <v>6161</v>
      </c>
      <c r="E86" s="2">
        <v>1</v>
      </c>
      <c r="F86" s="2" t="str">
        <f>_xlfn.XLOOKUP(C86,customers!$A$1:$A$1001,customers!$B$1:$B$1001,,0)</f>
        <v>Zaccaria Sherewood</v>
      </c>
      <c r="G86" s="2" t="str" cm="1">
        <f t="array" ref="G86">IF(_xlfn.XLOOKUP(C86,customers!A85:$A$1001,customers!C85:$C$1001,,0)=0,"",_xlfn.XLOOKUP(C86,customers!A85:$A$1001,customers!C85:$C$1001,,0))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2">
      <c r="A87" s="2" t="s">
        <v>971</v>
      </c>
      <c r="B87" s="3">
        <v>43664</v>
      </c>
      <c r="C87" s="2" t="s">
        <v>972</v>
      </c>
      <c r="D87" t="s">
        <v>6182</v>
      </c>
      <c r="E87" s="2">
        <v>3</v>
      </c>
      <c r="F87" s="2" t="str">
        <f>_xlfn.XLOOKUP(C87,customers!$A$1:$A$1001,customers!$B$1:$B$1001,,0)</f>
        <v>Jeffrey Dufaire</v>
      </c>
      <c r="G87" s="2" t="str" cm="1">
        <f t="array" ref="G87">IF(_xlfn.XLOOKUP(C87,customers!A86:$A$1001,customers!C86:$C$1001,,0)=0,"",_xlfn.XLOOKUP(C87,customers!A86:$A$1001,customers!C86:$C$1001,,0))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2">
      <c r="A88" s="2" t="s">
        <v>971</v>
      </c>
      <c r="B88" s="3">
        <v>43664</v>
      </c>
      <c r="C88" s="2" t="s">
        <v>972</v>
      </c>
      <c r="D88" t="s">
        <v>6154</v>
      </c>
      <c r="E88" s="2">
        <v>4</v>
      </c>
      <c r="F88" s="2" t="str">
        <f>_xlfn.XLOOKUP(C88,customers!$A$1:$A$1001,customers!$B$1:$B$1001,,0)</f>
        <v>Jeffrey Dufaire</v>
      </c>
      <c r="G88" s="2" t="str" cm="1">
        <f t="array" ref="G88">IF(_xlfn.XLOOKUP(C88,customers!A87:$A$1001,customers!C87:$C$1001,,0)=0,"",_xlfn.XLOOKUP(C88,customers!A87:$A$1001,customers!C87:$C$1001,,0))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2">
      <c r="A89" s="2" t="s">
        <v>980</v>
      </c>
      <c r="B89" s="3">
        <v>44289</v>
      </c>
      <c r="C89" s="2" t="s">
        <v>981</v>
      </c>
      <c r="D89" t="s">
        <v>6155</v>
      </c>
      <c r="E89" s="2">
        <v>3</v>
      </c>
      <c r="F89" s="2" t="str">
        <f>_xlfn.XLOOKUP(C89,customers!$A$1:$A$1001,customers!$B$1:$B$1001,,0)</f>
        <v>Beitris Keaveney</v>
      </c>
      <c r="G89" s="2" t="str" cm="1">
        <f t="array" ref="G89">IF(_xlfn.XLOOKUP(C89,customers!A88:$A$1001,customers!C88:$C$1001,,0)=0,"",_xlfn.XLOOKUP(C89,customers!A88:$A$1001,customers!C88:$C$1001,,0))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2">
      <c r="A90" s="2" t="s">
        <v>985</v>
      </c>
      <c r="B90" s="3">
        <v>44284</v>
      </c>
      <c r="C90" s="2" t="s">
        <v>986</v>
      </c>
      <c r="D90" t="s">
        <v>6179</v>
      </c>
      <c r="E90" s="2">
        <v>3</v>
      </c>
      <c r="F90" s="2" t="str">
        <f>_xlfn.XLOOKUP(C90,customers!$A$1:$A$1001,customers!$B$1:$B$1001,,0)</f>
        <v>Elna Grise</v>
      </c>
      <c r="G90" s="2" t="str" cm="1">
        <f t="array" ref="G90">IF(_xlfn.XLOOKUP(C90,customers!A89:$A$1001,customers!C89:$C$1001,,0)=0,"",_xlfn.XLOOKUP(C90,customers!A89:$A$1001,customers!C89:$C$1001,,0))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2">
      <c r="A91" s="2" t="s">
        <v>990</v>
      </c>
      <c r="B91" s="3">
        <v>44545</v>
      </c>
      <c r="C91" s="2" t="s">
        <v>991</v>
      </c>
      <c r="D91" t="s">
        <v>6140</v>
      </c>
      <c r="E91" s="2">
        <v>6</v>
      </c>
      <c r="F91" s="2" t="str">
        <f>_xlfn.XLOOKUP(C91,customers!$A$1:$A$1001,customers!$B$1:$B$1001,,0)</f>
        <v>Torie Gottelier</v>
      </c>
      <c r="G91" s="2" t="str" cm="1">
        <f t="array" ref="G91">IF(_xlfn.XLOOKUP(C91,customers!A90:$A$1001,customers!C90:$C$1001,,0)=0,"",_xlfn.XLOOKUP(C91,customers!A90:$A$1001,customers!C90:$C$1001,,0))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2">
      <c r="A92" s="2" t="s">
        <v>996</v>
      </c>
      <c r="B92" s="3">
        <v>43971</v>
      </c>
      <c r="C92" s="2" t="s">
        <v>997</v>
      </c>
      <c r="D92" t="s">
        <v>6140</v>
      </c>
      <c r="E92" s="2">
        <v>4</v>
      </c>
      <c r="F92" s="2" t="str">
        <f>_xlfn.XLOOKUP(C92,customers!$A$1:$A$1001,customers!$B$1:$B$1001,,0)</f>
        <v>Loydie Langlais</v>
      </c>
      <c r="G92" s="2" t="str" cm="1">
        <f t="array" ref="G92">IF(_xlfn.XLOOKUP(C92,customers!A91:$A$1001,customers!C91:$C$1001,,0)=0,"",_xlfn.XLOOKUP(C92,customers!A91:$A$1001,customers!C91:$C$1001,,0))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2">
      <c r="A93" s="2" t="s">
        <v>1001</v>
      </c>
      <c r="B93" s="3">
        <v>44137</v>
      </c>
      <c r="C93" s="2" t="s">
        <v>1002</v>
      </c>
      <c r="D93" t="s">
        <v>6175</v>
      </c>
      <c r="E93" s="2">
        <v>4</v>
      </c>
      <c r="F93" s="2" t="str">
        <f>_xlfn.XLOOKUP(C93,customers!$A$1:$A$1001,customers!$B$1:$B$1001,,0)</f>
        <v>Adham Greenhead</v>
      </c>
      <c r="G93" s="2" t="str" cm="1">
        <f t="array" ref="G93">IF(_xlfn.XLOOKUP(C93,customers!A92:$A$1001,customers!C92:$C$1001,,0)=0,"",_xlfn.XLOOKUP(C93,customers!A92:$A$1001,customers!C92:$C$1001,,0))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2">
      <c r="A94" s="2" t="s">
        <v>1007</v>
      </c>
      <c r="B94" s="3">
        <v>44037</v>
      </c>
      <c r="C94" s="2" t="s">
        <v>1008</v>
      </c>
      <c r="D94" t="s">
        <v>6171</v>
      </c>
      <c r="E94" s="2">
        <v>3</v>
      </c>
      <c r="F94" s="2" t="str">
        <f>_xlfn.XLOOKUP(C94,customers!$A$1:$A$1001,customers!$B$1:$B$1001,,0)</f>
        <v>Hamish MacSherry</v>
      </c>
      <c r="G94" s="2" t="str" cm="1">
        <f t="array" ref="G94">IF(_xlfn.XLOOKUP(C94,customers!A93:$A$1001,customers!C93:$C$1001,,0)=0,"",_xlfn.XLOOKUP(C94,customers!A93:$A$1001,customers!C93:$C$1001,,0))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2">
      <c r="A95" s="2" t="s">
        <v>1012</v>
      </c>
      <c r="B95" s="3">
        <v>43538</v>
      </c>
      <c r="C95" s="2" t="s">
        <v>1013</v>
      </c>
      <c r="D95" t="s">
        <v>6176</v>
      </c>
      <c r="E95" s="2">
        <v>4</v>
      </c>
      <c r="F95" s="2" t="str">
        <f>_xlfn.XLOOKUP(C95,customers!$A$1:$A$1001,customers!$B$1:$B$1001,,0)</f>
        <v>Else Langcaster</v>
      </c>
      <c r="G95" s="2" t="str" cm="1">
        <f t="array" ref="G95">IF(_xlfn.XLOOKUP(C95,customers!A94:$A$1001,customers!C94:$C$1001,,0)=0,"",_xlfn.XLOOKUP(C95,customers!A94:$A$1001,customers!C94:$C$1001,,0))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2">
      <c r="A96" s="2" t="s">
        <v>1018</v>
      </c>
      <c r="B96" s="3">
        <v>44014</v>
      </c>
      <c r="C96" s="2" t="s">
        <v>1019</v>
      </c>
      <c r="D96" t="s">
        <v>6154</v>
      </c>
      <c r="E96" s="2">
        <v>6</v>
      </c>
      <c r="F96" s="2" t="str">
        <f>_xlfn.XLOOKUP(C96,customers!$A$1:$A$1001,customers!$B$1:$B$1001,,0)</f>
        <v>Rudy Farquharson</v>
      </c>
      <c r="G96" s="2" t="str" cm="1">
        <f t="array" ref="G96">IF(_xlfn.XLOOKUP(C96,customers!A95:$A$1001,customers!C95:$C$1001,,0)=0,"",_xlfn.XLOOKUP(C96,customers!A95:$A$1001,customers!C95:$C$1001,,0))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2">
      <c r="A97" s="2" t="s">
        <v>1022</v>
      </c>
      <c r="B97" s="3">
        <v>43816</v>
      </c>
      <c r="C97" s="2" t="s">
        <v>1023</v>
      </c>
      <c r="D97" t="s">
        <v>6175</v>
      </c>
      <c r="E97" s="2">
        <v>6</v>
      </c>
      <c r="F97" s="2" t="str">
        <f>_xlfn.XLOOKUP(C97,customers!$A$1:$A$1001,customers!$B$1:$B$1001,,0)</f>
        <v>Norene Magauran</v>
      </c>
      <c r="G97" s="2" t="str" cm="1">
        <f t="array" ref="G97">IF(_xlfn.XLOOKUP(C97,customers!A96:$A$1001,customers!C96:$C$1001,,0)=0,"",_xlfn.XLOOKUP(C97,customers!A96:$A$1001,customers!C96:$C$1001,,0))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2">
      <c r="A98" s="2" t="s">
        <v>1027</v>
      </c>
      <c r="B98" s="3">
        <v>44171</v>
      </c>
      <c r="C98" s="2" t="s">
        <v>1028</v>
      </c>
      <c r="D98" t="s">
        <v>6154</v>
      </c>
      <c r="E98" s="2">
        <v>2</v>
      </c>
      <c r="F98" s="2" t="str">
        <f>_xlfn.XLOOKUP(C98,customers!$A$1:$A$1001,customers!$B$1:$B$1001,,0)</f>
        <v>Vicki Kirdsch</v>
      </c>
      <c r="G98" s="2" t="str" cm="1">
        <f t="array" ref="G98">IF(_xlfn.XLOOKUP(C98,customers!A97:$A$1001,customers!C97:$C$1001,,0)=0,"",_xlfn.XLOOKUP(C98,customers!A97:$A$1001,customers!C97:$C$1001,,0))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2">
      <c r="A99" s="2" t="s">
        <v>1032</v>
      </c>
      <c r="B99" s="3">
        <v>44259</v>
      </c>
      <c r="C99" s="2" t="s">
        <v>1033</v>
      </c>
      <c r="D99" t="s">
        <v>6157</v>
      </c>
      <c r="E99" s="2">
        <v>2</v>
      </c>
      <c r="F99" s="2" t="str">
        <f>_xlfn.XLOOKUP(C99,customers!$A$1:$A$1001,customers!$B$1:$B$1001,,0)</f>
        <v>Ilysa Whapple</v>
      </c>
      <c r="G99" s="2" t="str" cm="1">
        <f t="array" ref="G99">IF(_xlfn.XLOOKUP(C99,customers!A98:$A$1001,customers!C98:$C$1001,,0)=0,"",_xlfn.XLOOKUP(C99,customers!A98:$A$1001,customers!C98:$C$1001,,0))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2">
      <c r="A100" s="2" t="s">
        <v>1038</v>
      </c>
      <c r="B100" s="3">
        <v>44394</v>
      </c>
      <c r="C100" s="2" t="s">
        <v>1039</v>
      </c>
      <c r="D100" t="s">
        <v>6154</v>
      </c>
      <c r="E100" s="2">
        <v>1</v>
      </c>
      <c r="F100" s="2" t="str">
        <f>_xlfn.XLOOKUP(C100,customers!$A$1:$A$1001,customers!$B$1:$B$1001,,0)</f>
        <v>Ruy Cancellieri</v>
      </c>
      <c r="G100" s="2" t="str" cm="1">
        <f t="array" ref="G100">IF(_xlfn.XLOOKUP(C100,customers!A99:$A$1001,customers!C99:$C$1001,,0)=0,"",_xlfn.XLOOKUP(C100,customers!A99:$A$1001,customers!C99:$C$1001,,0))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2">
      <c r="A101" s="2" t="s">
        <v>1043</v>
      </c>
      <c r="B101" s="3">
        <v>44139</v>
      </c>
      <c r="C101" s="2" t="s">
        <v>1044</v>
      </c>
      <c r="D101" t="s">
        <v>6159</v>
      </c>
      <c r="E101" s="2">
        <v>3</v>
      </c>
      <c r="F101" s="2" t="str">
        <f>_xlfn.XLOOKUP(C101,customers!$A$1:$A$1001,customers!$B$1:$B$1001,,0)</f>
        <v>Aube Follett</v>
      </c>
      <c r="G101" s="2" t="str" cm="1">
        <f t="array" ref="G101">IF(_xlfn.XLOOKUP(C101,customers!A100:$A$1001,customers!C100:$C$1001,,0)=0,"",_xlfn.XLOOKUP(C101,customers!A100:$A$1001,customers!C100:$C$1001,,0))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2">
      <c r="A102" s="2" t="s">
        <v>1048</v>
      </c>
      <c r="B102" s="3">
        <v>44291</v>
      </c>
      <c r="C102" s="2" t="s">
        <v>1049</v>
      </c>
      <c r="D102" t="s">
        <v>6167</v>
      </c>
      <c r="E102" s="2">
        <v>2</v>
      </c>
      <c r="F102" s="2" t="str">
        <f>_xlfn.XLOOKUP(C102,customers!$A$1:$A$1001,customers!$B$1:$B$1001,,0)</f>
        <v>Rudiger Di Bartolomeo</v>
      </c>
      <c r="G102" s="2" t="str" cm="1">
        <f t="array" ref="G102">IF(_xlfn.XLOOKUP(C102,customers!A101:$A$1001,customers!C101:$C$1001,,0)=0,"",_xlfn.XLOOKUP(C102,customers!A101:$A$1001,customers!C101:$C$1001,,0))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2">
      <c r="A103" s="2" t="s">
        <v>1053</v>
      </c>
      <c r="B103" s="3">
        <v>43891</v>
      </c>
      <c r="C103" s="2" t="s">
        <v>1054</v>
      </c>
      <c r="D103" t="s">
        <v>6165</v>
      </c>
      <c r="E103" s="2">
        <v>5</v>
      </c>
      <c r="F103" s="2" t="str">
        <f>_xlfn.XLOOKUP(C103,customers!$A$1:$A$1001,customers!$B$1:$B$1001,,0)</f>
        <v>Nickey Youles</v>
      </c>
      <c r="G103" s="2" t="str" cm="1">
        <f t="array" ref="G103">IF(_xlfn.XLOOKUP(C103,customers!A102:$A$1001,customers!C102:$C$1001,,0)=0,"",_xlfn.XLOOKUP(C103,customers!A102:$A$1001,customers!C102:$C$1001,,0))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2">
      <c r="A104" s="2" t="s">
        <v>1059</v>
      </c>
      <c r="B104" s="3">
        <v>44488</v>
      </c>
      <c r="C104" s="2" t="s">
        <v>1060</v>
      </c>
      <c r="D104" t="s">
        <v>6143</v>
      </c>
      <c r="E104" s="2">
        <v>3</v>
      </c>
      <c r="F104" s="2" t="str">
        <f>_xlfn.XLOOKUP(C104,customers!$A$1:$A$1001,customers!$B$1:$B$1001,,0)</f>
        <v>Dyanna Aizikovitz</v>
      </c>
      <c r="G104" s="2" t="str" cm="1">
        <f t="array" ref="G104">IF(_xlfn.XLOOKUP(C104,customers!A103:$A$1001,customers!C103:$C$1001,,0)=0,"",_xlfn.XLOOKUP(C104,customers!A103:$A$1001,customers!C103:$C$1001,,0))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2">
      <c r="A105" s="2" t="s">
        <v>1065</v>
      </c>
      <c r="B105" s="3">
        <v>44750</v>
      </c>
      <c r="C105" s="2" t="s">
        <v>1066</v>
      </c>
      <c r="D105" t="s">
        <v>6174</v>
      </c>
      <c r="E105" s="2">
        <v>4</v>
      </c>
      <c r="F105" s="2" t="str">
        <f>_xlfn.XLOOKUP(C105,customers!$A$1:$A$1001,customers!$B$1:$B$1001,,0)</f>
        <v>Bram Revel</v>
      </c>
      <c r="G105" s="2" t="str" cm="1">
        <f t="array" ref="G105">IF(_xlfn.XLOOKUP(C105,customers!A104:$A$1001,customers!C104:$C$1001,,0)=0,"",_xlfn.XLOOKUP(C105,customers!A104:$A$1001,customers!C104:$C$1001,,0))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2">
      <c r="A106" s="2" t="s">
        <v>1071</v>
      </c>
      <c r="B106" s="3">
        <v>43694</v>
      </c>
      <c r="C106" s="2" t="s">
        <v>1072</v>
      </c>
      <c r="D106" t="s">
        <v>6162</v>
      </c>
      <c r="E106" s="2">
        <v>6</v>
      </c>
      <c r="F106" s="2" t="str">
        <f>_xlfn.XLOOKUP(C106,customers!$A$1:$A$1001,customers!$B$1:$B$1001,,0)</f>
        <v>Emiline Priddis</v>
      </c>
      <c r="G106" s="2" t="str" cm="1">
        <f t="array" ref="G106">IF(_xlfn.XLOOKUP(C106,customers!A105:$A$1001,customers!C105:$C$1001,,0)=0,"",_xlfn.XLOOKUP(C106,customers!A105:$A$1001,customers!C105:$C$1001,,0))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2">
      <c r="A107" s="2" t="s">
        <v>1077</v>
      </c>
      <c r="B107" s="3">
        <v>43982</v>
      </c>
      <c r="C107" s="2" t="s">
        <v>1078</v>
      </c>
      <c r="D107" t="s">
        <v>6157</v>
      </c>
      <c r="E107" s="2">
        <v>6</v>
      </c>
      <c r="F107" s="2" t="str">
        <f>_xlfn.XLOOKUP(C107,customers!$A$1:$A$1001,customers!$B$1:$B$1001,,0)</f>
        <v>Queenie Veel</v>
      </c>
      <c r="G107" s="2" t="str" cm="1">
        <f t="array" ref="G107">IF(_xlfn.XLOOKUP(C107,customers!A106:$A$1001,customers!C106:$C$1001,,0)=0,"",_xlfn.XLOOKUP(C107,customers!A106:$A$1001,customers!C106:$C$1001,,0))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2">
      <c r="A108" s="2" t="s">
        <v>1083</v>
      </c>
      <c r="B108" s="3">
        <v>43956</v>
      </c>
      <c r="C108" s="2" t="s">
        <v>1084</v>
      </c>
      <c r="D108" t="s">
        <v>6183</v>
      </c>
      <c r="E108" s="2">
        <v>2</v>
      </c>
      <c r="F108" s="2" t="str">
        <f>_xlfn.XLOOKUP(C108,customers!$A$1:$A$1001,customers!$B$1:$B$1001,,0)</f>
        <v>Lind Conyers</v>
      </c>
      <c r="G108" s="2" t="str" cm="1">
        <f t="array" ref="G108">IF(_xlfn.XLOOKUP(C108,customers!A107:$A$1001,customers!C107:$C$1001,,0)=0,"",_xlfn.XLOOKUP(C108,customers!A107:$A$1001,customers!C107:$C$1001,,0))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2">
      <c r="A109" s="2" t="s">
        <v>1089</v>
      </c>
      <c r="B109" s="3">
        <v>43569</v>
      </c>
      <c r="C109" s="2" t="s">
        <v>1090</v>
      </c>
      <c r="D109" t="s">
        <v>6146</v>
      </c>
      <c r="E109" s="2">
        <v>3</v>
      </c>
      <c r="F109" s="2" t="str">
        <f>_xlfn.XLOOKUP(C109,customers!$A$1:$A$1001,customers!$B$1:$B$1001,,0)</f>
        <v>Pen Wye</v>
      </c>
      <c r="G109" s="2" t="str" cm="1">
        <f t="array" ref="G109">IF(_xlfn.XLOOKUP(C109,customers!A108:$A$1001,customers!C108:$C$1001,,0)=0,"",_xlfn.XLOOKUP(C109,customers!A108:$A$1001,customers!C108:$C$1001,,0))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2">
      <c r="A110" s="2" t="s">
        <v>1095</v>
      </c>
      <c r="B110" s="3">
        <v>44041</v>
      </c>
      <c r="C110" s="2" t="s">
        <v>1096</v>
      </c>
      <c r="D110" t="s">
        <v>6157</v>
      </c>
      <c r="E110" s="2">
        <v>4</v>
      </c>
      <c r="F110" s="2" t="str">
        <f>_xlfn.XLOOKUP(C110,customers!$A$1:$A$1001,customers!$B$1:$B$1001,,0)</f>
        <v>Isahella Hagland</v>
      </c>
      <c r="G110" s="2" t="str" cm="1">
        <f t="array" ref="G110">IF(_xlfn.XLOOKUP(C110,customers!A109:$A$1001,customers!C109:$C$1001,,0)=0,"",_xlfn.XLOOKUP(C110,customers!A109:$A$1001,customers!C109:$C$1001,,0))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2">
      <c r="A111" s="2" t="s">
        <v>1100</v>
      </c>
      <c r="B111" s="3">
        <v>43811</v>
      </c>
      <c r="C111" s="2" t="s">
        <v>1101</v>
      </c>
      <c r="D111" t="s">
        <v>6169</v>
      </c>
      <c r="E111" s="2">
        <v>1</v>
      </c>
      <c r="F111" s="2" t="str">
        <f>_xlfn.XLOOKUP(C111,customers!$A$1:$A$1001,customers!$B$1:$B$1001,,0)</f>
        <v>Terry Sheryn</v>
      </c>
      <c r="G111" s="2" t="str" cm="1">
        <f t="array" ref="G111">IF(_xlfn.XLOOKUP(C111,customers!A110:$A$1001,customers!C110:$C$1001,,0)=0,"",_xlfn.XLOOKUP(C111,customers!A110:$A$1001,customers!C110:$C$1001,,0))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2">
      <c r="A112" s="2" t="s">
        <v>1106</v>
      </c>
      <c r="B112" s="3">
        <v>44727</v>
      </c>
      <c r="C112" s="2" t="s">
        <v>1107</v>
      </c>
      <c r="D112" t="s">
        <v>6184</v>
      </c>
      <c r="E112" s="2">
        <v>3</v>
      </c>
      <c r="F112" s="2" t="str">
        <f>_xlfn.XLOOKUP(C112,customers!$A$1:$A$1001,customers!$B$1:$B$1001,,0)</f>
        <v>Marie-jeanne Redgrave</v>
      </c>
      <c r="G112" s="2" t="str" cm="1">
        <f t="array" ref="G112">IF(_xlfn.XLOOKUP(C112,customers!A111:$A$1001,customers!C111:$C$1001,,0)=0,"",_xlfn.XLOOKUP(C112,customers!A111:$A$1001,customers!C111:$C$1001,,0))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2">
      <c r="A113" s="2" t="s">
        <v>1112</v>
      </c>
      <c r="B113" s="3">
        <v>43642</v>
      </c>
      <c r="C113" s="2" t="s">
        <v>1113</v>
      </c>
      <c r="D113" t="s">
        <v>6172</v>
      </c>
      <c r="E113" s="2">
        <v>5</v>
      </c>
      <c r="F113" s="2" t="str">
        <f>_xlfn.XLOOKUP(C113,customers!$A$1:$A$1001,customers!$B$1:$B$1001,,0)</f>
        <v>Betty Fominov</v>
      </c>
      <c r="G113" s="2" t="str" cm="1">
        <f t="array" ref="G113">IF(_xlfn.XLOOKUP(C113,customers!A112:$A$1001,customers!C112:$C$1001,,0)=0,"",_xlfn.XLOOKUP(C113,customers!A112:$A$1001,customers!C112:$C$1001,,0))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2">
      <c r="A114" s="2" t="s">
        <v>1117</v>
      </c>
      <c r="B114" s="3">
        <v>44481</v>
      </c>
      <c r="C114" s="2" t="s">
        <v>1118</v>
      </c>
      <c r="D114" t="s">
        <v>6155</v>
      </c>
      <c r="E114" s="2">
        <v>1</v>
      </c>
      <c r="F114" s="2" t="str">
        <f>_xlfn.XLOOKUP(C114,customers!$A$1:$A$1001,customers!$B$1:$B$1001,,0)</f>
        <v>Shawnee Critchlow</v>
      </c>
      <c r="G114" s="2" t="str" cm="1">
        <f t="array" ref="G114">IF(_xlfn.XLOOKUP(C114,customers!A113:$A$1001,customers!C113:$C$1001,,0)=0,"",_xlfn.XLOOKUP(C114,customers!A113:$A$1001,customers!C113:$C$1001,,0))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2">
      <c r="A115" s="2" t="s">
        <v>1123</v>
      </c>
      <c r="B115" s="3">
        <v>43556</v>
      </c>
      <c r="C115" s="2" t="s">
        <v>1124</v>
      </c>
      <c r="D115" t="s">
        <v>6162</v>
      </c>
      <c r="E115" s="2">
        <v>1</v>
      </c>
      <c r="F115" s="2" t="str">
        <f>_xlfn.XLOOKUP(C115,customers!$A$1:$A$1001,customers!$B$1:$B$1001,,0)</f>
        <v>Merrel Steptow</v>
      </c>
      <c r="G115" s="2" t="str" cm="1">
        <f t="array" ref="G115">IF(_xlfn.XLOOKUP(C115,customers!A114:$A$1001,customers!C114:$C$1001,,0)=0,"",_xlfn.XLOOKUP(C115,customers!A114:$A$1001,customers!C114:$C$1001,,0))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2">
      <c r="A116" s="2" t="s">
        <v>1129</v>
      </c>
      <c r="B116" s="3">
        <v>44265</v>
      </c>
      <c r="C116" s="2" t="s">
        <v>1130</v>
      </c>
      <c r="D116" t="s">
        <v>6178</v>
      </c>
      <c r="E116" s="2">
        <v>4</v>
      </c>
      <c r="F116" s="2" t="str">
        <f>_xlfn.XLOOKUP(C116,customers!$A$1:$A$1001,customers!$B$1:$B$1001,,0)</f>
        <v>Carmina Hubbuck</v>
      </c>
      <c r="G116" s="2" t="str" cm="1">
        <f t="array" ref="G116">IF(_xlfn.XLOOKUP(C116,customers!A115:$A$1001,customers!C115:$C$1001,,0)=0,"",_xlfn.XLOOKUP(C116,customers!A115:$A$1001,customers!C115:$C$1001,,0))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2">
      <c r="A117" s="2" t="s">
        <v>1134</v>
      </c>
      <c r="B117" s="3">
        <v>43693</v>
      </c>
      <c r="C117" s="2" t="s">
        <v>1135</v>
      </c>
      <c r="D117" t="s">
        <v>6170</v>
      </c>
      <c r="E117" s="2">
        <v>1</v>
      </c>
      <c r="F117" s="2" t="str">
        <f>_xlfn.XLOOKUP(C117,customers!$A$1:$A$1001,customers!$B$1:$B$1001,,0)</f>
        <v>Ingeberg Mulliner</v>
      </c>
      <c r="G117" s="2" t="str" cm="1">
        <f t="array" ref="G117">IF(_xlfn.XLOOKUP(C117,customers!A116:$A$1001,customers!C116:$C$1001,,0)=0,"",_xlfn.XLOOKUP(C117,customers!A116:$A$1001,customers!C116:$C$1001,,0))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2">
      <c r="A118" s="2" t="s">
        <v>1140</v>
      </c>
      <c r="B118" s="3">
        <v>44054</v>
      </c>
      <c r="C118" s="2" t="s">
        <v>1141</v>
      </c>
      <c r="D118" t="s">
        <v>6145</v>
      </c>
      <c r="E118" s="2">
        <v>4</v>
      </c>
      <c r="F118" s="2" t="str">
        <f>_xlfn.XLOOKUP(C118,customers!$A$1:$A$1001,customers!$B$1:$B$1001,,0)</f>
        <v>Geneva Standley</v>
      </c>
      <c r="G118" s="2" t="str" cm="1">
        <f t="array" ref="G118">IF(_xlfn.XLOOKUP(C118,customers!A117:$A$1001,customers!C117:$C$1001,,0)=0,"",_xlfn.XLOOKUP(C118,customers!A117:$A$1001,customers!C117:$C$1001,,0))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2">
      <c r="A119" s="2" t="s">
        <v>1146</v>
      </c>
      <c r="B119" s="3">
        <v>44656</v>
      </c>
      <c r="C119" s="2" t="s">
        <v>1147</v>
      </c>
      <c r="D119" t="s">
        <v>6161</v>
      </c>
      <c r="E119" s="2">
        <v>4</v>
      </c>
      <c r="F119" s="2" t="str">
        <f>_xlfn.XLOOKUP(C119,customers!$A$1:$A$1001,customers!$B$1:$B$1001,,0)</f>
        <v>Brook Drage</v>
      </c>
      <c r="G119" s="2" t="str" cm="1">
        <f t="array" ref="G119">IF(_xlfn.XLOOKUP(C119,customers!A118:$A$1001,customers!C118:$C$1001,,0)=0,"",_xlfn.XLOOKUP(C119,customers!A118:$A$1001,customers!C118:$C$1001,,0))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2">
      <c r="A120" s="2" t="s">
        <v>1152</v>
      </c>
      <c r="B120" s="3">
        <v>43760</v>
      </c>
      <c r="C120" s="2" t="s">
        <v>1153</v>
      </c>
      <c r="D120" t="s">
        <v>6144</v>
      </c>
      <c r="E120" s="2">
        <v>3</v>
      </c>
      <c r="F120" s="2" t="str">
        <f>_xlfn.XLOOKUP(C120,customers!$A$1:$A$1001,customers!$B$1:$B$1001,,0)</f>
        <v>Muffin Yallop</v>
      </c>
      <c r="G120" s="2" t="str" cm="1">
        <f t="array" ref="G120">IF(_xlfn.XLOOKUP(C120,customers!A119:$A$1001,customers!C119:$C$1001,,0)=0,"",_xlfn.XLOOKUP(C120,customers!A119:$A$1001,customers!C119:$C$1001,,0))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2">
      <c r="A121" s="2" t="s">
        <v>1158</v>
      </c>
      <c r="B121" s="3">
        <v>44471</v>
      </c>
      <c r="C121" s="2" t="s">
        <v>1159</v>
      </c>
      <c r="D121" t="s">
        <v>6156</v>
      </c>
      <c r="E121" s="2">
        <v>1</v>
      </c>
      <c r="F121" s="2" t="str">
        <f>_xlfn.XLOOKUP(C121,customers!$A$1:$A$1001,customers!$B$1:$B$1001,,0)</f>
        <v>Cordi Switsur</v>
      </c>
      <c r="G121" s="2" t="str" cm="1">
        <f t="array" ref="G121">IF(_xlfn.XLOOKUP(C121,customers!A120:$A$1001,customers!C120:$C$1001,,0)=0,"",_xlfn.XLOOKUP(C121,customers!A120:$A$1001,customers!C120:$C$1001,,0))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2">
      <c r="A122" s="2" t="s">
        <v>1158</v>
      </c>
      <c r="B122" s="3">
        <v>44471</v>
      </c>
      <c r="C122" s="2" t="s">
        <v>1159</v>
      </c>
      <c r="D122" t="s">
        <v>6167</v>
      </c>
      <c r="E122" s="2">
        <v>1</v>
      </c>
      <c r="F122" s="2" t="str">
        <f>_xlfn.XLOOKUP(C122,customers!$A$1:$A$1001,customers!$B$1:$B$1001,,0)</f>
        <v>Cordi Switsur</v>
      </c>
      <c r="G122" s="2" t="str" cm="1">
        <f t="array" ref="G122">IF(_xlfn.XLOOKUP(C122,customers!A121:$A$1001,customers!C121:$C$1001,,0)=0,"",_xlfn.XLOOKUP(C122,customers!A121:$A$1001,customers!C121:$C$1001,,0))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2">
      <c r="A123" s="2" t="s">
        <v>1158</v>
      </c>
      <c r="B123" s="3">
        <v>44471</v>
      </c>
      <c r="C123" s="2" t="s">
        <v>1159</v>
      </c>
      <c r="D123" t="s">
        <v>6141</v>
      </c>
      <c r="E123" s="2">
        <v>5</v>
      </c>
      <c r="F123" s="2" t="str">
        <f>_xlfn.XLOOKUP(C123,customers!$A$1:$A$1001,customers!$B$1:$B$1001,,0)</f>
        <v>Cordi Switsur</v>
      </c>
      <c r="G123" s="2" t="e" cm="1">
        <f t="array" ref="G123">IF(_xlfn.XLOOKUP(C123,customers!A122:$A$1001,customers!C122:$C$1001,,0)=0,"",_xlfn.XLOOKUP(C123,customers!A122:$A$1001,customers!C122:$C$1001,,0))</f>
        <v>#N/A</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2">
      <c r="A124" s="2" t="s">
        <v>1174</v>
      </c>
      <c r="B124" s="3">
        <v>44268</v>
      </c>
      <c r="C124" s="2" t="s">
        <v>1175</v>
      </c>
      <c r="D124" t="s">
        <v>6158</v>
      </c>
      <c r="E124" s="2">
        <v>4</v>
      </c>
      <c r="F124" s="2" t="str">
        <f>_xlfn.XLOOKUP(C124,customers!$A$1:$A$1001,customers!$B$1:$B$1001,,0)</f>
        <v>Mahala Ludwell</v>
      </c>
      <c r="G124" s="2" t="str" cm="1">
        <f t="array" ref="G124">IF(_xlfn.XLOOKUP(C124,customers!A123:$A$1001,customers!C123:$C$1001,,0)=0,"",_xlfn.XLOOKUP(C124,customers!A123:$A$1001,customers!C123:$C$1001,,0))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2">
      <c r="A125" s="2" t="s">
        <v>1180</v>
      </c>
      <c r="B125" s="3">
        <v>44724</v>
      </c>
      <c r="C125" s="2" t="s">
        <v>1181</v>
      </c>
      <c r="D125" t="s">
        <v>6164</v>
      </c>
      <c r="E125" s="2">
        <v>4</v>
      </c>
      <c r="F125" s="2" t="str">
        <f>_xlfn.XLOOKUP(C125,customers!$A$1:$A$1001,customers!$B$1:$B$1001,,0)</f>
        <v>Doll Beauchamp</v>
      </c>
      <c r="G125" s="2" t="str" cm="1">
        <f t="array" ref="G125">IF(_xlfn.XLOOKUP(C125,customers!A124:$A$1001,customers!C124:$C$1001,,0)=0,"",_xlfn.XLOOKUP(C125,customers!A124:$A$1001,customers!C124:$C$1001,,0))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2">
      <c r="A126" s="2" t="s">
        <v>1186</v>
      </c>
      <c r="B126" s="3">
        <v>43582</v>
      </c>
      <c r="C126" s="2" t="s">
        <v>1187</v>
      </c>
      <c r="D126" t="s">
        <v>6159</v>
      </c>
      <c r="E126" s="2">
        <v>5</v>
      </c>
      <c r="F126" s="2" t="str">
        <f>_xlfn.XLOOKUP(C126,customers!$A$1:$A$1001,customers!$B$1:$B$1001,,0)</f>
        <v>Stanford Rodliff</v>
      </c>
      <c r="G126" s="2" t="str" cm="1">
        <f t="array" ref="G126">IF(_xlfn.XLOOKUP(C126,customers!A125:$A$1001,customers!C125:$C$1001,,0)=0,"",_xlfn.XLOOKUP(C126,customers!A125:$A$1001,customers!C125:$C$1001,,0))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2">
      <c r="A127" s="2" t="s">
        <v>1192</v>
      </c>
      <c r="B127" s="3">
        <v>43608</v>
      </c>
      <c r="C127" s="2" t="s">
        <v>1193</v>
      </c>
      <c r="D127" t="s">
        <v>6160</v>
      </c>
      <c r="E127" s="2">
        <v>3</v>
      </c>
      <c r="F127" s="2" t="str">
        <f>_xlfn.XLOOKUP(C127,customers!$A$1:$A$1001,customers!$B$1:$B$1001,,0)</f>
        <v>Stevana Woodham</v>
      </c>
      <c r="G127" s="2" t="str" cm="1">
        <f t="array" ref="G127">IF(_xlfn.XLOOKUP(C127,customers!A126:$A$1001,customers!C126:$C$1001,,0)=0,"",_xlfn.XLOOKUP(C127,customers!A126:$A$1001,customers!C126:$C$1001,,0))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2">
      <c r="A128" s="2" t="s">
        <v>1198</v>
      </c>
      <c r="B128" s="3">
        <v>44026</v>
      </c>
      <c r="C128" s="2" t="s">
        <v>1199</v>
      </c>
      <c r="D128" t="s">
        <v>6155</v>
      </c>
      <c r="E128" s="2">
        <v>1</v>
      </c>
      <c r="F128" s="2" t="str">
        <f>_xlfn.XLOOKUP(C128,customers!$A$1:$A$1001,customers!$B$1:$B$1001,,0)</f>
        <v>Hewet Synnot</v>
      </c>
      <c r="G128" s="2" t="str" cm="1">
        <f t="array" ref="G128">IF(_xlfn.XLOOKUP(C128,customers!A127:$A$1001,customers!C127:$C$1001,,0)=0,"",_xlfn.XLOOKUP(C128,customers!A127:$A$1001,customers!C127:$C$1001,,0))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2">
      <c r="A129" s="2" t="s">
        <v>1204</v>
      </c>
      <c r="B129" s="3">
        <v>44510</v>
      </c>
      <c r="C129" s="2" t="s">
        <v>1205</v>
      </c>
      <c r="D129" t="s">
        <v>6143</v>
      </c>
      <c r="E129" s="2">
        <v>6</v>
      </c>
      <c r="F129" s="2" t="str">
        <f>_xlfn.XLOOKUP(C129,customers!$A$1:$A$1001,customers!$B$1:$B$1001,,0)</f>
        <v>Raleigh Lepere</v>
      </c>
      <c r="G129" s="2" t="str" cm="1">
        <f t="array" ref="G129">IF(_xlfn.XLOOKUP(C129,customers!A128:$A$1001,customers!C128:$C$1001,,0)=0,"",_xlfn.XLOOKUP(C129,customers!A128:$A$1001,customers!C128:$C$1001,,0))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2">
      <c r="A130" s="2" t="s">
        <v>1210</v>
      </c>
      <c r="B130" s="3">
        <v>44439</v>
      </c>
      <c r="C130" s="2" t="s">
        <v>1211</v>
      </c>
      <c r="D130" t="s">
        <v>6157</v>
      </c>
      <c r="E130" s="2">
        <v>1</v>
      </c>
      <c r="F130" s="2" t="str">
        <f>_xlfn.XLOOKUP(C130,customers!$A$1:$A$1001,customers!$B$1:$B$1001,,0)</f>
        <v>Timofei Woofinden</v>
      </c>
      <c r="G130" s="2" t="str" cm="1">
        <f t="array" ref="G130">IF(_xlfn.XLOOKUP(C130,customers!A129:$A$1001,customers!C129:$C$1001,,0)=0,"",_xlfn.XLOOKUP(C130,customers!A129:$A$1001,customers!C129:$C$1001,,0))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2">
      <c r="A131" s="2" t="s">
        <v>1216</v>
      </c>
      <c r="B131" s="3">
        <v>43652</v>
      </c>
      <c r="C131" s="2" t="s">
        <v>1217</v>
      </c>
      <c r="D131" t="s">
        <v>6183</v>
      </c>
      <c r="E131" s="2">
        <v>1</v>
      </c>
      <c r="F131" s="2" t="str">
        <f>_xlfn.XLOOKUP(C131,customers!$A$1:$A$1001,customers!$B$1:$B$1001,,0)</f>
        <v>Evelina Dacca</v>
      </c>
      <c r="G131" s="2" t="str" cm="1">
        <f t="array" ref="G131">IF(_xlfn.XLOOKUP(C131,customers!A130:$A$1001,customers!C130:$C$1001,,0)=0,"",_xlfn.XLOOKUP(C131,customers!A130:$A$1001,customers!C130:$C$1001,,0))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 "Robusta", IF(I131="Exc", "Excelsa", IF(I131="Ara", "Arabica", IF(I131="Lib", "Liberica", ""))))</f>
        <v>Excelsa</v>
      </c>
      <c r="O131" t="str">
        <f t="shared" ref="O131:O194" si="8">IF(J131="M", "Medium", IF(J131="L", "Light", IF(J131="D", "Dark", "")))</f>
        <v>Dark</v>
      </c>
      <c r="P131" t="str">
        <f>_xlfn.XLOOKUP(Orders[[#This Row],[Customer ID]],customers!$A$1:$A$1001,customers!$I$1:$I$1001,,0)</f>
        <v>Yes</v>
      </c>
    </row>
    <row r="132" spans="1:16" x14ac:dyDescent="0.2">
      <c r="A132" s="2" t="s">
        <v>1222</v>
      </c>
      <c r="B132" s="3">
        <v>44624</v>
      </c>
      <c r="C132" s="2" t="s">
        <v>1223</v>
      </c>
      <c r="D132" t="s">
        <v>6182</v>
      </c>
      <c r="E132" s="2">
        <v>5</v>
      </c>
      <c r="F132" s="2" t="str">
        <f>_xlfn.XLOOKUP(C132,customers!$A$1:$A$1001,customers!$B$1:$B$1001,,0)</f>
        <v>Bidget Tremellier</v>
      </c>
      <c r="G132" s="2" t="str" cm="1">
        <f t="array" ref="G132">IF(_xlfn.XLOOKUP(C132,customers!A131:$A$1001,customers!C131:$C$1001,,0)=0,"",_xlfn.XLOOKUP(C132,customers!A131:$A$1001,customers!C131:$C$1001,,0))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2">
      <c r="A133" s="2" t="s">
        <v>1227</v>
      </c>
      <c r="B133" s="3">
        <v>44196</v>
      </c>
      <c r="C133" s="2" t="s">
        <v>1228</v>
      </c>
      <c r="D133" t="s">
        <v>6144</v>
      </c>
      <c r="E133" s="2">
        <v>2</v>
      </c>
      <c r="F133" s="2" t="str">
        <f>_xlfn.XLOOKUP(C133,customers!$A$1:$A$1001,customers!$B$1:$B$1001,,0)</f>
        <v>Bobinette Hindsberg</v>
      </c>
      <c r="G133" s="2" t="str" cm="1">
        <f t="array" ref="G133">IF(_xlfn.XLOOKUP(C133,customers!A132:$A$1001,customers!C132:$C$1001,,0)=0,"",_xlfn.XLOOKUP(C133,customers!A132:$A$1001,customers!C132:$C$1001,,0))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2">
      <c r="A134" s="2" t="s">
        <v>1233</v>
      </c>
      <c r="B134" s="3">
        <v>44043</v>
      </c>
      <c r="C134" s="2" t="s">
        <v>1234</v>
      </c>
      <c r="D134" t="s">
        <v>6182</v>
      </c>
      <c r="E134" s="2">
        <v>5</v>
      </c>
      <c r="F134" s="2" t="str">
        <f>_xlfn.XLOOKUP(C134,customers!$A$1:$A$1001,customers!$B$1:$B$1001,,0)</f>
        <v>Osbert Robins</v>
      </c>
      <c r="G134" s="2" t="str" cm="1">
        <f t="array" ref="G134">IF(_xlfn.XLOOKUP(C134,customers!A133:$A$1001,customers!C133:$C$1001,,0)=0,"",_xlfn.XLOOKUP(C134,customers!A133:$A$1001,customers!C133:$C$1001,,0))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2">
      <c r="A135" s="2" t="s">
        <v>1239</v>
      </c>
      <c r="B135" s="3">
        <v>44340</v>
      </c>
      <c r="C135" s="2" t="s">
        <v>1240</v>
      </c>
      <c r="D135" t="s">
        <v>6143</v>
      </c>
      <c r="E135" s="2">
        <v>1</v>
      </c>
      <c r="F135" s="2" t="str">
        <f>_xlfn.XLOOKUP(C135,customers!$A$1:$A$1001,customers!$B$1:$B$1001,,0)</f>
        <v>Othello Syseland</v>
      </c>
      <c r="G135" s="2" t="str" cm="1">
        <f t="array" ref="G135">IF(_xlfn.XLOOKUP(C135,customers!A134:$A$1001,customers!C134:$C$1001,,0)=0,"",_xlfn.XLOOKUP(C135,customers!A134:$A$1001,customers!C134:$C$1001,,0))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2">
      <c r="A136" s="2" t="s">
        <v>1245</v>
      </c>
      <c r="B136" s="3">
        <v>44758</v>
      </c>
      <c r="C136" s="2" t="s">
        <v>1246</v>
      </c>
      <c r="D136" t="s">
        <v>6166</v>
      </c>
      <c r="E136" s="2">
        <v>3</v>
      </c>
      <c r="F136" s="2" t="str">
        <f>_xlfn.XLOOKUP(C136,customers!$A$1:$A$1001,customers!$B$1:$B$1001,,0)</f>
        <v>Ewell Hanby</v>
      </c>
      <c r="G136" s="2" t="str" cm="1">
        <f t="array" ref="G136">IF(_xlfn.XLOOKUP(C136,customers!A135:$A$1001,customers!C135:$C$1001,,0)=0,"",_xlfn.XLOOKUP(C136,customers!A135:$A$1001,customers!C135:$C$1001,,0))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2">
      <c r="A137" s="2" t="s">
        <v>1249</v>
      </c>
      <c r="B137" s="3">
        <v>44232</v>
      </c>
      <c r="C137" s="2" t="s">
        <v>976</v>
      </c>
      <c r="D137" t="s">
        <v>6180</v>
      </c>
      <c r="E137" s="2">
        <v>5</v>
      </c>
      <c r="F137" s="2" t="str">
        <f>_xlfn.XLOOKUP(C137,customers!$A$1:$A$1001,customers!$B$1:$B$1001,,0)</f>
        <v>Blancha McAmish</v>
      </c>
      <c r="G137" s="2" t="e" cm="1">
        <f t="array" ref="G137">IF(_xlfn.XLOOKUP(C137,customers!A136:$A$1001,customers!C136:$C$1001,,0)=0,"",_xlfn.XLOOKUP(C137,customers!A136:$A$1001,customers!C136:$C$1001,,0))</f>
        <v>#N/A</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2">
      <c r="A138" s="2" t="s">
        <v>1255</v>
      </c>
      <c r="B138" s="3">
        <v>44406</v>
      </c>
      <c r="C138" s="2" t="s">
        <v>1256</v>
      </c>
      <c r="D138" t="s">
        <v>6154</v>
      </c>
      <c r="E138" s="2">
        <v>4</v>
      </c>
      <c r="F138" s="2" t="str">
        <f>_xlfn.XLOOKUP(C138,customers!$A$1:$A$1001,customers!$B$1:$B$1001,,0)</f>
        <v>Lowell Keenleyside</v>
      </c>
      <c r="G138" s="2" t="str" cm="1">
        <f t="array" ref="G138">IF(_xlfn.XLOOKUP(C138,customers!A137:$A$1001,customers!C137:$C$1001,,0)=0,"",_xlfn.XLOOKUP(C138,customers!A137:$A$1001,customers!C137:$C$1001,,0))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2">
      <c r="A139" s="2" t="s">
        <v>1261</v>
      </c>
      <c r="B139" s="3">
        <v>44637</v>
      </c>
      <c r="C139" s="2" t="s">
        <v>1262</v>
      </c>
      <c r="D139" t="s">
        <v>6148</v>
      </c>
      <c r="E139" s="2">
        <v>3</v>
      </c>
      <c r="F139" s="2" t="str">
        <f>_xlfn.XLOOKUP(C139,customers!$A$1:$A$1001,customers!$B$1:$B$1001,,0)</f>
        <v>Elonore Joliffe</v>
      </c>
      <c r="G139" s="2" t="str" cm="1">
        <f t="array" ref="G139">IF(_xlfn.XLOOKUP(C139,customers!A138:$A$1001,customers!C138:$C$1001,,0)=0,"",_xlfn.XLOOKUP(C139,customers!A138:$A$1001,customers!C138:$C$1001,,0))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2">
      <c r="A140" s="2" t="s">
        <v>1266</v>
      </c>
      <c r="B140" s="3">
        <v>44238</v>
      </c>
      <c r="C140" s="2" t="s">
        <v>1267</v>
      </c>
      <c r="D140" t="s">
        <v>6183</v>
      </c>
      <c r="E140" s="2">
        <v>4</v>
      </c>
      <c r="F140" s="2" t="str">
        <f>_xlfn.XLOOKUP(C140,customers!$A$1:$A$1001,customers!$B$1:$B$1001,,0)</f>
        <v>Abraham Coleman</v>
      </c>
      <c r="G140" s="2" t="str" cm="1">
        <f t="array" ref="G140">IF(_xlfn.XLOOKUP(C140,customers!A139:$A$1001,customers!C139:$C$1001,,0)=0,"",_xlfn.XLOOKUP(C140,customers!A139:$A$1001,customers!C139:$C$1001,,0))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2">
      <c r="A141" s="2" t="s">
        <v>1271</v>
      </c>
      <c r="B141" s="3">
        <v>43509</v>
      </c>
      <c r="C141" s="2" t="s">
        <v>1272</v>
      </c>
      <c r="D141" t="s">
        <v>6143</v>
      </c>
      <c r="E141" s="2">
        <v>6</v>
      </c>
      <c r="F141" s="2" t="str">
        <f>_xlfn.XLOOKUP(C141,customers!$A$1:$A$1001,customers!$B$1:$B$1001,,0)</f>
        <v>Rivy Farington</v>
      </c>
      <c r="G141" s="2" t="str" cm="1">
        <f t="array" ref="G141">IF(_xlfn.XLOOKUP(C141,customers!A140:$A$1001,customers!C140:$C$1001,,0)=0,"",_xlfn.XLOOKUP(C141,customers!A140:$A$1001,customers!C140:$C$1001,,0))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2">
      <c r="A142" s="2" t="s">
        <v>1276</v>
      </c>
      <c r="B142" s="3">
        <v>44694</v>
      </c>
      <c r="C142" s="2" t="s">
        <v>1277</v>
      </c>
      <c r="D142" t="s">
        <v>6165</v>
      </c>
      <c r="E142" s="2">
        <v>1</v>
      </c>
      <c r="F142" s="2" t="str">
        <f>_xlfn.XLOOKUP(C142,customers!$A$1:$A$1001,customers!$B$1:$B$1001,,0)</f>
        <v>Vallie Kundt</v>
      </c>
      <c r="G142" s="2" t="str" cm="1">
        <f t="array" ref="G142">IF(_xlfn.XLOOKUP(C142,customers!A141:$A$1001,customers!C141:$C$1001,,0)=0,"",_xlfn.XLOOKUP(C142,customers!A141:$A$1001,customers!C141:$C$1001,,0))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2">
      <c r="A143" s="2" t="s">
        <v>1283</v>
      </c>
      <c r="B143" s="3">
        <v>43970</v>
      </c>
      <c r="C143" s="2" t="s">
        <v>1284</v>
      </c>
      <c r="D143" t="s">
        <v>6167</v>
      </c>
      <c r="E143" s="2">
        <v>4</v>
      </c>
      <c r="F143" s="2" t="str">
        <f>_xlfn.XLOOKUP(C143,customers!$A$1:$A$1001,customers!$B$1:$B$1001,,0)</f>
        <v>Boyd Bett</v>
      </c>
      <c r="G143" s="2" t="str" cm="1">
        <f t="array" ref="G143">IF(_xlfn.XLOOKUP(C143,customers!A142:$A$1001,customers!C142:$C$1001,,0)=0,"",_xlfn.XLOOKUP(C143,customers!A142:$A$1001,customers!C142:$C$1001,,0))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2">
      <c r="A144" s="2" t="s">
        <v>1289</v>
      </c>
      <c r="B144" s="3">
        <v>44678</v>
      </c>
      <c r="C144" s="2" t="s">
        <v>1290</v>
      </c>
      <c r="D144" t="s">
        <v>6148</v>
      </c>
      <c r="E144" s="2">
        <v>4</v>
      </c>
      <c r="F144" s="2" t="str">
        <f>_xlfn.XLOOKUP(C144,customers!$A$1:$A$1001,customers!$B$1:$B$1001,,0)</f>
        <v>Julio Armytage</v>
      </c>
      <c r="G144" s="2" t="str" cm="1">
        <f t="array" ref="G144">IF(_xlfn.XLOOKUP(C144,customers!A143:$A$1001,customers!C143:$C$1001,,0)=0,"",_xlfn.XLOOKUP(C144,customers!A143:$A$1001,customers!C143:$C$1001,,0))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2">
      <c r="A145" s="2" t="s">
        <v>1293</v>
      </c>
      <c r="B145" s="3">
        <v>44083</v>
      </c>
      <c r="C145" s="2" t="s">
        <v>1294</v>
      </c>
      <c r="D145" t="s">
        <v>6160</v>
      </c>
      <c r="E145" s="2">
        <v>2</v>
      </c>
      <c r="F145" s="2" t="str">
        <f>_xlfn.XLOOKUP(C145,customers!$A$1:$A$1001,customers!$B$1:$B$1001,,0)</f>
        <v>Deana Staite</v>
      </c>
      <c r="G145" s="2" t="str" cm="1">
        <f t="array" ref="G145">IF(_xlfn.XLOOKUP(C145,customers!A144:$A$1001,customers!C144:$C$1001,,0)=0,"",_xlfn.XLOOKUP(C145,customers!A144:$A$1001,customers!C144:$C$1001,,0))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2">
      <c r="A146" s="2" t="s">
        <v>1299</v>
      </c>
      <c r="B146" s="3">
        <v>44265</v>
      </c>
      <c r="C146" s="2" t="s">
        <v>1300</v>
      </c>
      <c r="D146" t="s">
        <v>6148</v>
      </c>
      <c r="E146" s="2">
        <v>2</v>
      </c>
      <c r="F146" s="2" t="str">
        <f>_xlfn.XLOOKUP(C146,customers!$A$1:$A$1001,customers!$B$1:$B$1001,,0)</f>
        <v>Winn Keyse</v>
      </c>
      <c r="G146" s="2" t="str" cm="1">
        <f t="array" ref="G146">IF(_xlfn.XLOOKUP(C146,customers!A145:$A$1001,customers!C145:$C$1001,,0)=0,"",_xlfn.XLOOKUP(C146,customers!A145:$A$1001,customers!C145:$C$1001,,0))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2">
      <c r="A147" s="2" t="s">
        <v>1305</v>
      </c>
      <c r="B147" s="3">
        <v>43562</v>
      </c>
      <c r="C147" s="2" t="s">
        <v>1306</v>
      </c>
      <c r="D147" t="s">
        <v>6159</v>
      </c>
      <c r="E147" s="2">
        <v>4</v>
      </c>
      <c r="F147" s="2" t="str">
        <f>_xlfn.XLOOKUP(C147,customers!$A$1:$A$1001,customers!$B$1:$B$1001,,0)</f>
        <v>Osmund Clausen-Thue</v>
      </c>
      <c r="G147" s="2" t="str" cm="1">
        <f t="array" ref="G147">IF(_xlfn.XLOOKUP(C147,customers!A146:$A$1001,customers!C146:$C$1001,,0)=0,"",_xlfn.XLOOKUP(C147,customers!A146:$A$1001,customers!C146:$C$1001,,0))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2">
      <c r="A148" s="2" t="s">
        <v>1311</v>
      </c>
      <c r="B148" s="3">
        <v>44024</v>
      </c>
      <c r="C148" s="2" t="s">
        <v>1312</v>
      </c>
      <c r="D148" t="s">
        <v>6162</v>
      </c>
      <c r="E148" s="2">
        <v>3</v>
      </c>
      <c r="F148" s="2" t="str">
        <f>_xlfn.XLOOKUP(C148,customers!$A$1:$A$1001,customers!$B$1:$B$1001,,0)</f>
        <v>Leonore Francisco</v>
      </c>
      <c r="G148" s="2" t="str" cm="1">
        <f t="array" ref="G148">IF(_xlfn.XLOOKUP(C148,customers!A147:$A$1001,customers!C147:$C$1001,,0)=0,"",_xlfn.XLOOKUP(C148,customers!A147:$A$1001,customers!C147:$C$1001,,0))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2">
      <c r="A149" s="2" t="s">
        <v>1311</v>
      </c>
      <c r="B149" s="3">
        <v>44024</v>
      </c>
      <c r="C149" s="2" t="s">
        <v>1312</v>
      </c>
      <c r="D149" t="s">
        <v>6141</v>
      </c>
      <c r="E149" s="2">
        <v>2</v>
      </c>
      <c r="F149" s="2" t="str">
        <f>_xlfn.XLOOKUP(C149,customers!$A$1:$A$1001,customers!$B$1:$B$1001,,0)</f>
        <v>Leonore Francisco</v>
      </c>
      <c r="G149" s="2" t="str" cm="1">
        <f t="array" ref="G149">IF(_xlfn.XLOOKUP(C149,customers!A148:$A$1001,customers!C148:$C$1001,,0)=0,"",_xlfn.XLOOKUP(C149,customers!A148:$A$1001,customers!C148:$C$1001,,0))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2">
      <c r="A150" s="2" t="s">
        <v>1322</v>
      </c>
      <c r="B150" s="3">
        <v>44551</v>
      </c>
      <c r="C150" s="2" t="s">
        <v>1323</v>
      </c>
      <c r="D150" t="s">
        <v>6153</v>
      </c>
      <c r="E150" s="2">
        <v>5</v>
      </c>
      <c r="F150" s="2" t="str">
        <f>_xlfn.XLOOKUP(C150,customers!$A$1:$A$1001,customers!$B$1:$B$1001,,0)</f>
        <v>Giacobo Skingle</v>
      </c>
      <c r="G150" s="2" t="str" cm="1">
        <f t="array" ref="G150">IF(_xlfn.XLOOKUP(C150,customers!A149:$A$1001,customers!C149:$C$1001,,0)=0,"",_xlfn.XLOOKUP(C150,customers!A149:$A$1001,customers!C149:$C$1001,,0))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2">
      <c r="A151" s="2" t="s">
        <v>1328</v>
      </c>
      <c r="B151" s="3">
        <v>44108</v>
      </c>
      <c r="C151" s="2" t="s">
        <v>1329</v>
      </c>
      <c r="D151" t="s">
        <v>6175</v>
      </c>
      <c r="E151" s="2">
        <v>2</v>
      </c>
      <c r="F151" s="2" t="str">
        <f>_xlfn.XLOOKUP(C151,customers!$A$1:$A$1001,customers!$B$1:$B$1001,,0)</f>
        <v>Gerard Pirdy</v>
      </c>
      <c r="G151" s="2" t="str" cm="1">
        <f t="array" ref="G151">IF(_xlfn.XLOOKUP(C151,customers!A150:$A$1001,customers!C150:$C$1001,,0)=0,"",_xlfn.XLOOKUP(C151,customers!A150:$A$1001,customers!C150:$C$1001,,0))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2">
      <c r="A152" s="2" t="s">
        <v>1333</v>
      </c>
      <c r="B152" s="3">
        <v>44051</v>
      </c>
      <c r="C152" s="2" t="s">
        <v>1334</v>
      </c>
      <c r="D152" t="s">
        <v>6143</v>
      </c>
      <c r="E152" s="2">
        <v>1</v>
      </c>
      <c r="F152" s="2" t="str">
        <f>_xlfn.XLOOKUP(C152,customers!$A$1:$A$1001,customers!$B$1:$B$1001,,0)</f>
        <v>Jacinthe Balsillie</v>
      </c>
      <c r="G152" s="2" t="str" cm="1">
        <f t="array" ref="G152">IF(_xlfn.XLOOKUP(C152,customers!A151:$A$1001,customers!C151:$C$1001,,0)=0,"",_xlfn.XLOOKUP(C152,customers!A151:$A$1001,customers!C151:$C$1001,,0))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2">
      <c r="A153" s="2" t="s">
        <v>1339</v>
      </c>
      <c r="B153" s="3">
        <v>44115</v>
      </c>
      <c r="C153" s="2" t="s">
        <v>1340</v>
      </c>
      <c r="D153" t="s">
        <v>6155</v>
      </c>
      <c r="E153" s="2">
        <v>3</v>
      </c>
      <c r="F153" s="2" t="str">
        <f>_xlfn.XLOOKUP(C153,customers!$A$1:$A$1001,customers!$B$1:$B$1001,,0)</f>
        <v>Quinton Fouracres</v>
      </c>
      <c r="G153" s="2" t="str" cm="1">
        <f t="array" ref="G153">IF(_xlfn.XLOOKUP(C153,customers!A152:$A$1001,customers!C152:$C$1001,,0)=0,"",_xlfn.XLOOKUP(C153,customers!A152:$A$1001,customers!C152:$C$1001,,0))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2">
      <c r="A154" s="2" t="s">
        <v>1344</v>
      </c>
      <c r="B154" s="3">
        <v>44510</v>
      </c>
      <c r="C154" s="2" t="s">
        <v>1345</v>
      </c>
      <c r="D154" t="s">
        <v>6151</v>
      </c>
      <c r="E154" s="2">
        <v>3</v>
      </c>
      <c r="F154" s="2" t="str">
        <f>_xlfn.XLOOKUP(C154,customers!$A$1:$A$1001,customers!$B$1:$B$1001,,0)</f>
        <v>Bettina Leffek</v>
      </c>
      <c r="G154" s="2" t="str" cm="1">
        <f t="array" ref="G154">IF(_xlfn.XLOOKUP(C154,customers!A153:$A$1001,customers!C153:$C$1001,,0)=0,"",_xlfn.XLOOKUP(C154,customers!A153:$A$1001,customers!C153:$C$1001,,0))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2">
      <c r="A155" s="2" t="s">
        <v>1350</v>
      </c>
      <c r="B155" s="3">
        <v>44367</v>
      </c>
      <c r="C155" s="2" t="s">
        <v>1351</v>
      </c>
      <c r="D155" t="s">
        <v>6163</v>
      </c>
      <c r="E155" s="2">
        <v>1</v>
      </c>
      <c r="F155" s="2" t="str">
        <f>_xlfn.XLOOKUP(C155,customers!$A$1:$A$1001,customers!$B$1:$B$1001,,0)</f>
        <v>Hetti Penson</v>
      </c>
      <c r="G155" s="2" t="str" cm="1">
        <f t="array" ref="G155">IF(_xlfn.XLOOKUP(C155,customers!A154:$A$1001,customers!C154:$C$1001,,0)=0,"",_xlfn.XLOOKUP(C155,customers!A154:$A$1001,customers!C154:$C$1001,,0))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2">
      <c r="A156" s="2" t="s">
        <v>1355</v>
      </c>
      <c r="B156" s="3">
        <v>44473</v>
      </c>
      <c r="C156" s="2" t="s">
        <v>1356</v>
      </c>
      <c r="D156" t="s">
        <v>6168</v>
      </c>
      <c r="E156" s="2">
        <v>5</v>
      </c>
      <c r="F156" s="2" t="str">
        <f>_xlfn.XLOOKUP(C156,customers!$A$1:$A$1001,customers!$B$1:$B$1001,,0)</f>
        <v>Jocko Pray</v>
      </c>
      <c r="G156" s="2" t="str" cm="1">
        <f t="array" ref="G156">IF(_xlfn.XLOOKUP(C156,customers!A155:$A$1001,customers!C155:$C$1001,,0)=0,"",_xlfn.XLOOKUP(C156,customers!A155:$A$1001,customers!C155:$C$1001,,0))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2">
      <c r="A157" s="2" t="s">
        <v>1361</v>
      </c>
      <c r="B157" s="3">
        <v>43640</v>
      </c>
      <c r="C157" s="2" t="s">
        <v>1362</v>
      </c>
      <c r="D157" t="s">
        <v>6175</v>
      </c>
      <c r="E157" s="2">
        <v>6</v>
      </c>
      <c r="F157" s="2" t="str">
        <f>_xlfn.XLOOKUP(C157,customers!$A$1:$A$1001,customers!$B$1:$B$1001,,0)</f>
        <v>Grete Holborn</v>
      </c>
      <c r="G157" s="2" t="str" cm="1">
        <f t="array" ref="G157">IF(_xlfn.XLOOKUP(C157,customers!A156:$A$1001,customers!C156:$C$1001,,0)=0,"",_xlfn.XLOOKUP(C157,customers!A156:$A$1001,customers!C156:$C$1001,,0))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2">
      <c r="A158" s="2" t="s">
        <v>1367</v>
      </c>
      <c r="B158" s="3">
        <v>43764</v>
      </c>
      <c r="C158" s="2" t="s">
        <v>1368</v>
      </c>
      <c r="D158" t="s">
        <v>6175</v>
      </c>
      <c r="E158" s="2">
        <v>3</v>
      </c>
      <c r="F158" s="2" t="str">
        <f>_xlfn.XLOOKUP(C158,customers!$A$1:$A$1001,customers!$B$1:$B$1001,,0)</f>
        <v>Fielding Keinrat</v>
      </c>
      <c r="G158" s="2" t="str" cm="1">
        <f t="array" ref="G158">IF(_xlfn.XLOOKUP(C158,customers!A157:$A$1001,customers!C157:$C$1001,,0)=0,"",_xlfn.XLOOKUP(C158,customers!A157:$A$1001,customers!C157:$C$1001,,0))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2">
      <c r="A159" s="2" t="s">
        <v>1373</v>
      </c>
      <c r="B159" s="3">
        <v>44374</v>
      </c>
      <c r="C159" s="2" t="s">
        <v>1374</v>
      </c>
      <c r="D159" t="s">
        <v>6149</v>
      </c>
      <c r="E159" s="2">
        <v>3</v>
      </c>
      <c r="F159" s="2" t="str">
        <f>_xlfn.XLOOKUP(C159,customers!$A$1:$A$1001,customers!$B$1:$B$1001,,0)</f>
        <v>Paulo Yea</v>
      </c>
      <c r="G159" s="2" t="str" cm="1">
        <f t="array" ref="G159">IF(_xlfn.XLOOKUP(C159,customers!A158:$A$1001,customers!C158:$C$1001,,0)=0,"",_xlfn.XLOOKUP(C159,customers!A158:$A$1001,customers!C158:$C$1001,,0))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2">
      <c r="A160" s="2" t="s">
        <v>1379</v>
      </c>
      <c r="B160" s="3">
        <v>43714</v>
      </c>
      <c r="C160" s="2" t="s">
        <v>1380</v>
      </c>
      <c r="D160" t="s">
        <v>6149</v>
      </c>
      <c r="E160" s="2">
        <v>6</v>
      </c>
      <c r="F160" s="2" t="str">
        <f>_xlfn.XLOOKUP(C160,customers!$A$1:$A$1001,customers!$B$1:$B$1001,,0)</f>
        <v>Say Risborough</v>
      </c>
      <c r="G160" s="2" t="str" cm="1">
        <f t="array" ref="G160">IF(_xlfn.XLOOKUP(C160,customers!A159:$A$1001,customers!C159:$C$1001,,0)=0,"",_xlfn.XLOOKUP(C160,customers!A159:$A$1001,customers!C159:$C$1001,,0))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2">
      <c r="A161" s="2" t="s">
        <v>1384</v>
      </c>
      <c r="B161" s="3">
        <v>44316</v>
      </c>
      <c r="C161" s="2" t="s">
        <v>1385</v>
      </c>
      <c r="D161" t="s">
        <v>6164</v>
      </c>
      <c r="E161" s="2">
        <v>6</v>
      </c>
      <c r="F161" s="2" t="str">
        <f>_xlfn.XLOOKUP(C161,customers!$A$1:$A$1001,customers!$B$1:$B$1001,,0)</f>
        <v>Alexa Sizey</v>
      </c>
      <c r="G161" s="2" t="str" cm="1">
        <f t="array" ref="G161">IF(_xlfn.XLOOKUP(C161,customers!A160:$A$1001,customers!C160:$C$1001,,0)=0,"",_xlfn.XLOOKUP(C161,customers!A160:$A$1001,customers!C160:$C$1001,,0))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2">
      <c r="A162" s="2" t="s">
        <v>1389</v>
      </c>
      <c r="B162" s="3">
        <v>43837</v>
      </c>
      <c r="C162" s="2" t="s">
        <v>1390</v>
      </c>
      <c r="D162" t="s">
        <v>6139</v>
      </c>
      <c r="E162" s="2">
        <v>4</v>
      </c>
      <c r="F162" s="2" t="str">
        <f>_xlfn.XLOOKUP(C162,customers!$A$1:$A$1001,customers!$B$1:$B$1001,,0)</f>
        <v>Kari Swede</v>
      </c>
      <c r="G162" s="2" t="str" cm="1">
        <f t="array" ref="G162">IF(_xlfn.XLOOKUP(C162,customers!A161:$A$1001,customers!C161:$C$1001,,0)=0,"",_xlfn.XLOOKUP(C162,customers!A161:$A$1001,customers!C161:$C$1001,,0))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2">
      <c r="A163" s="2" t="s">
        <v>1395</v>
      </c>
      <c r="B163" s="3">
        <v>44207</v>
      </c>
      <c r="C163" s="2" t="s">
        <v>1396</v>
      </c>
      <c r="D163" t="s">
        <v>6180</v>
      </c>
      <c r="E163" s="2">
        <v>3</v>
      </c>
      <c r="F163" s="2" t="str">
        <f>_xlfn.XLOOKUP(C163,customers!$A$1:$A$1001,customers!$B$1:$B$1001,,0)</f>
        <v>Leontine Rubrow</v>
      </c>
      <c r="G163" s="2" t="str" cm="1">
        <f t="array" ref="G163">IF(_xlfn.XLOOKUP(C163,customers!A162:$A$1001,customers!C162:$C$1001,,0)=0,"",_xlfn.XLOOKUP(C163,customers!A162:$A$1001,customers!C162:$C$1001,,0))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2">
      <c r="A164" s="2" t="s">
        <v>1401</v>
      </c>
      <c r="B164" s="3">
        <v>44515</v>
      </c>
      <c r="C164" s="2" t="s">
        <v>1402</v>
      </c>
      <c r="D164" t="s">
        <v>6144</v>
      </c>
      <c r="E164" s="2">
        <v>3</v>
      </c>
      <c r="F164" s="2" t="str">
        <f>_xlfn.XLOOKUP(C164,customers!$A$1:$A$1001,customers!$B$1:$B$1001,,0)</f>
        <v>Dottie Tift</v>
      </c>
      <c r="G164" s="2" t="str" cm="1">
        <f t="array" ref="G164">IF(_xlfn.XLOOKUP(C164,customers!A163:$A$1001,customers!C163:$C$1001,,0)=0,"",_xlfn.XLOOKUP(C164,customers!A163:$A$1001,customers!C163:$C$1001,,0))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2">
      <c r="A165" s="2" t="s">
        <v>1407</v>
      </c>
      <c r="B165" s="3">
        <v>43619</v>
      </c>
      <c r="C165" s="2" t="s">
        <v>1408</v>
      </c>
      <c r="D165" t="s">
        <v>6163</v>
      </c>
      <c r="E165" s="2">
        <v>6</v>
      </c>
      <c r="F165" s="2" t="str">
        <f>_xlfn.XLOOKUP(C165,customers!$A$1:$A$1001,customers!$B$1:$B$1001,,0)</f>
        <v>Gerardo Schonfeld</v>
      </c>
      <c r="G165" s="2" t="str" cm="1">
        <f t="array" ref="G165">IF(_xlfn.XLOOKUP(C165,customers!A164:$A$1001,customers!C164:$C$1001,,0)=0,"",_xlfn.XLOOKUP(C165,customers!A164:$A$1001,customers!C164:$C$1001,,0))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2">
      <c r="A166" s="2" t="s">
        <v>1413</v>
      </c>
      <c r="B166" s="3">
        <v>44182</v>
      </c>
      <c r="C166" s="2" t="s">
        <v>1414</v>
      </c>
      <c r="D166" t="s">
        <v>6144</v>
      </c>
      <c r="E166" s="2">
        <v>4</v>
      </c>
      <c r="F166" s="2" t="str">
        <f>_xlfn.XLOOKUP(C166,customers!$A$1:$A$1001,customers!$B$1:$B$1001,,0)</f>
        <v>Claiborne Feye</v>
      </c>
      <c r="G166" s="2" t="str" cm="1">
        <f t="array" ref="G166">IF(_xlfn.XLOOKUP(C166,customers!A165:$A$1001,customers!C165:$C$1001,,0)=0,"",_xlfn.XLOOKUP(C166,customers!A165:$A$1001,customers!C165:$C$1001,,0))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2">
      <c r="A167" s="2" t="s">
        <v>1420</v>
      </c>
      <c r="B167" s="3">
        <v>44234</v>
      </c>
      <c r="C167" s="2" t="s">
        <v>1421</v>
      </c>
      <c r="D167" t="s">
        <v>6177</v>
      </c>
      <c r="E167" s="2">
        <v>6</v>
      </c>
      <c r="F167" s="2" t="str">
        <f>_xlfn.XLOOKUP(C167,customers!$A$1:$A$1001,customers!$B$1:$B$1001,,0)</f>
        <v>Mina Elstone</v>
      </c>
      <c r="G167" s="2" t="str" cm="1">
        <f t="array" ref="G167">IF(_xlfn.XLOOKUP(C167,customers!A166:$A$1001,customers!C166:$C$1001,,0)=0,"",_xlfn.XLOOKUP(C167,customers!A166:$A$1001,customers!C166:$C$1001,,0))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2">
      <c r="A168" s="2" t="s">
        <v>1425</v>
      </c>
      <c r="B168" s="3">
        <v>44270</v>
      </c>
      <c r="C168" s="2" t="s">
        <v>1426</v>
      </c>
      <c r="D168" t="s">
        <v>6172</v>
      </c>
      <c r="E168" s="2">
        <v>5</v>
      </c>
      <c r="F168" s="2" t="str">
        <f>_xlfn.XLOOKUP(C168,customers!$A$1:$A$1001,customers!$B$1:$B$1001,,0)</f>
        <v>Sherman Mewrcik</v>
      </c>
      <c r="G168" s="2" t="str" cm="1">
        <f t="array" ref="G168">IF(_xlfn.XLOOKUP(C168,customers!A167:$A$1001,customers!C167:$C$1001,,0)=0,"",_xlfn.XLOOKUP(C168,customers!A167:$A$1001,customers!C167:$C$1001,,0))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2">
      <c r="A169" s="2" t="s">
        <v>1430</v>
      </c>
      <c r="B169" s="3">
        <v>44777</v>
      </c>
      <c r="C169" s="2" t="s">
        <v>1431</v>
      </c>
      <c r="D169" t="s">
        <v>6139</v>
      </c>
      <c r="E169" s="2">
        <v>5</v>
      </c>
      <c r="F169" s="2" t="str">
        <f>_xlfn.XLOOKUP(C169,customers!$A$1:$A$1001,customers!$B$1:$B$1001,,0)</f>
        <v>Tamarah Fero</v>
      </c>
      <c r="G169" s="2" t="str" cm="1">
        <f t="array" ref="G169">IF(_xlfn.XLOOKUP(C169,customers!A168:$A$1001,customers!C168:$C$1001,,0)=0,"",_xlfn.XLOOKUP(C169,customers!A168:$A$1001,customers!C168:$C$1001,,0))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2">
      <c r="A170" s="2" t="s">
        <v>1436</v>
      </c>
      <c r="B170" s="3">
        <v>43484</v>
      </c>
      <c r="C170" s="2" t="s">
        <v>1437</v>
      </c>
      <c r="D170" t="s">
        <v>6157</v>
      </c>
      <c r="E170" s="2">
        <v>6</v>
      </c>
      <c r="F170" s="2" t="str">
        <f>_xlfn.XLOOKUP(C170,customers!$A$1:$A$1001,customers!$B$1:$B$1001,,0)</f>
        <v>Stanislaus Valsler</v>
      </c>
      <c r="G170" s="2" t="str" cm="1">
        <f t="array" ref="G170">IF(_xlfn.XLOOKUP(C170,customers!A169:$A$1001,customers!C169:$C$1001,,0)=0,"",_xlfn.XLOOKUP(C170,customers!A169:$A$1001,customers!C169:$C$1001,,0))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2">
      <c r="A171" s="2" t="s">
        <v>1441</v>
      </c>
      <c r="B171" s="3">
        <v>44643</v>
      </c>
      <c r="C171" s="2" t="s">
        <v>1442</v>
      </c>
      <c r="D171" t="s">
        <v>6177</v>
      </c>
      <c r="E171" s="2">
        <v>2</v>
      </c>
      <c r="F171" s="2" t="str">
        <f>_xlfn.XLOOKUP(C171,customers!$A$1:$A$1001,customers!$B$1:$B$1001,,0)</f>
        <v>Felita Dauney</v>
      </c>
      <c r="G171" s="2" t="str" cm="1">
        <f t="array" ref="G171">IF(_xlfn.XLOOKUP(C171,customers!A170:$A$1001,customers!C170:$C$1001,,0)=0,"",_xlfn.XLOOKUP(C171,customers!A170:$A$1001,customers!C170:$C$1001,,0))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2">
      <c r="A172" s="2" t="s">
        <v>1448</v>
      </c>
      <c r="B172" s="3">
        <v>44476</v>
      </c>
      <c r="C172" s="2" t="s">
        <v>1449</v>
      </c>
      <c r="D172" t="s">
        <v>6148</v>
      </c>
      <c r="E172" s="2">
        <v>2</v>
      </c>
      <c r="F172" s="2" t="str">
        <f>_xlfn.XLOOKUP(C172,customers!$A$1:$A$1001,customers!$B$1:$B$1001,,0)</f>
        <v>Serena Earley</v>
      </c>
      <c r="G172" s="2" t="str" cm="1">
        <f t="array" ref="G172">IF(_xlfn.XLOOKUP(C172,customers!A171:$A$1001,customers!C171:$C$1001,,0)=0,"",_xlfn.XLOOKUP(C172,customers!A171:$A$1001,customers!C171:$C$1001,,0))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2">
      <c r="A173" s="2" t="s">
        <v>1453</v>
      </c>
      <c r="B173" s="3">
        <v>43544</v>
      </c>
      <c r="C173" s="2" t="s">
        <v>1454</v>
      </c>
      <c r="D173" t="s">
        <v>6166</v>
      </c>
      <c r="E173" s="2">
        <v>2</v>
      </c>
      <c r="F173" s="2" t="str">
        <f>_xlfn.XLOOKUP(C173,customers!$A$1:$A$1001,customers!$B$1:$B$1001,,0)</f>
        <v>Minny Chamberlayne</v>
      </c>
      <c r="G173" s="2" t="str" cm="1">
        <f t="array" ref="G173">IF(_xlfn.XLOOKUP(C173,customers!A172:$A$1001,customers!C172:$C$1001,,0)=0,"",_xlfn.XLOOKUP(C173,customers!A172:$A$1001,customers!C172:$C$1001,,0))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2">
      <c r="A174" s="2" t="s">
        <v>1459</v>
      </c>
      <c r="B174" s="3">
        <v>44545</v>
      </c>
      <c r="C174" s="2" t="s">
        <v>1460</v>
      </c>
      <c r="D174" t="s">
        <v>6144</v>
      </c>
      <c r="E174" s="2">
        <v>3</v>
      </c>
      <c r="F174" s="2" t="str">
        <f>_xlfn.XLOOKUP(C174,customers!$A$1:$A$1001,customers!$B$1:$B$1001,,0)</f>
        <v>Bartholemy Flaherty</v>
      </c>
      <c r="G174" s="2" t="str" cm="1">
        <f t="array" ref="G174">IF(_xlfn.XLOOKUP(C174,customers!A173:$A$1001,customers!C173:$C$1001,,0)=0,"",_xlfn.XLOOKUP(C174,customers!A173:$A$1001,customers!C173:$C$1001,,0))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2">
      <c r="A175" s="2" t="s">
        <v>1464</v>
      </c>
      <c r="B175" s="3">
        <v>44720</v>
      </c>
      <c r="C175" s="2" t="s">
        <v>1465</v>
      </c>
      <c r="D175" t="s">
        <v>6151</v>
      </c>
      <c r="E175" s="2">
        <v>4</v>
      </c>
      <c r="F175" s="2" t="str">
        <f>_xlfn.XLOOKUP(C175,customers!$A$1:$A$1001,customers!$B$1:$B$1001,,0)</f>
        <v>Oran Colbeck</v>
      </c>
      <c r="G175" s="2" t="str" cm="1">
        <f t="array" ref="G175">IF(_xlfn.XLOOKUP(C175,customers!A174:$A$1001,customers!C174:$C$1001,,0)=0,"",_xlfn.XLOOKUP(C175,customers!A174:$A$1001,customers!C174:$C$1001,,0))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2">
      <c r="A176" s="2" t="s">
        <v>1470</v>
      </c>
      <c r="B176" s="3">
        <v>43813</v>
      </c>
      <c r="C176" s="2" t="s">
        <v>1471</v>
      </c>
      <c r="D176" t="s">
        <v>6148</v>
      </c>
      <c r="E176" s="2">
        <v>6</v>
      </c>
      <c r="F176" s="2" t="str">
        <f>_xlfn.XLOOKUP(C176,customers!$A$1:$A$1001,customers!$B$1:$B$1001,,0)</f>
        <v>Elysee Sketch</v>
      </c>
      <c r="G176" s="2" t="str" cm="1">
        <f t="array" ref="G176">IF(_xlfn.XLOOKUP(C176,customers!A175:$A$1001,customers!C175:$C$1001,,0)=0,"",_xlfn.XLOOKUP(C176,customers!A175:$A$1001,customers!C175:$C$1001,,0))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2">
      <c r="A177" s="2" t="s">
        <v>1475</v>
      </c>
      <c r="B177" s="3">
        <v>44296</v>
      </c>
      <c r="C177" s="2" t="s">
        <v>1476</v>
      </c>
      <c r="D177" t="s">
        <v>6166</v>
      </c>
      <c r="E177" s="2">
        <v>2</v>
      </c>
      <c r="F177" s="2" t="str">
        <f>_xlfn.XLOOKUP(C177,customers!$A$1:$A$1001,customers!$B$1:$B$1001,,0)</f>
        <v>Ethelda Hobbing</v>
      </c>
      <c r="G177" s="2" t="str" cm="1">
        <f t="array" ref="G177">IF(_xlfn.XLOOKUP(C177,customers!A176:$A$1001,customers!C176:$C$1001,,0)=0,"",_xlfn.XLOOKUP(C177,customers!A176:$A$1001,customers!C176:$C$1001,,0))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2">
      <c r="A178" s="2" t="s">
        <v>1481</v>
      </c>
      <c r="B178" s="3">
        <v>43900</v>
      </c>
      <c r="C178" s="2" t="s">
        <v>1482</v>
      </c>
      <c r="D178" t="s">
        <v>6148</v>
      </c>
      <c r="E178" s="2">
        <v>1</v>
      </c>
      <c r="F178" s="2" t="str">
        <f>_xlfn.XLOOKUP(C178,customers!$A$1:$A$1001,customers!$B$1:$B$1001,,0)</f>
        <v>Odille Thynne</v>
      </c>
      <c r="G178" s="2" t="str" cm="1">
        <f t="array" ref="G178">IF(_xlfn.XLOOKUP(C178,customers!A177:$A$1001,customers!C177:$C$1001,,0)=0,"",_xlfn.XLOOKUP(C178,customers!A177:$A$1001,customers!C177:$C$1001,,0))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2">
      <c r="A179" s="2" t="s">
        <v>1487</v>
      </c>
      <c r="B179" s="3">
        <v>44120</v>
      </c>
      <c r="C179" s="2" t="s">
        <v>1488</v>
      </c>
      <c r="D179" t="s">
        <v>6142</v>
      </c>
      <c r="E179" s="2">
        <v>4</v>
      </c>
      <c r="F179" s="2" t="str">
        <f>_xlfn.XLOOKUP(C179,customers!$A$1:$A$1001,customers!$B$1:$B$1001,,0)</f>
        <v>Emlynne Heining</v>
      </c>
      <c r="G179" s="2" t="str" cm="1">
        <f t="array" ref="G179">IF(_xlfn.XLOOKUP(C179,customers!A178:$A$1001,customers!C178:$C$1001,,0)=0,"",_xlfn.XLOOKUP(C179,customers!A178:$A$1001,customers!C178:$C$1001,,0))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2">
      <c r="A180" s="2" t="s">
        <v>1492</v>
      </c>
      <c r="B180" s="3">
        <v>43746</v>
      </c>
      <c r="C180" s="2" t="s">
        <v>1493</v>
      </c>
      <c r="D180" t="s">
        <v>6140</v>
      </c>
      <c r="E180" s="2">
        <v>2</v>
      </c>
      <c r="F180" s="2" t="str">
        <f>_xlfn.XLOOKUP(C180,customers!$A$1:$A$1001,customers!$B$1:$B$1001,,0)</f>
        <v>Katerina Melloi</v>
      </c>
      <c r="G180" s="2" t="str" cm="1">
        <f t="array" ref="G180">IF(_xlfn.XLOOKUP(C180,customers!A179:$A$1001,customers!C179:$C$1001,,0)=0,"",_xlfn.XLOOKUP(C180,customers!A179:$A$1001,customers!C179:$C$1001,,0))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2">
      <c r="A181" s="2" t="s">
        <v>1498</v>
      </c>
      <c r="B181" s="3">
        <v>43830</v>
      </c>
      <c r="C181" s="2" t="s">
        <v>1499</v>
      </c>
      <c r="D181" t="s">
        <v>6154</v>
      </c>
      <c r="E181" s="2">
        <v>1</v>
      </c>
      <c r="F181" s="2" t="str">
        <f>_xlfn.XLOOKUP(C181,customers!$A$1:$A$1001,customers!$B$1:$B$1001,,0)</f>
        <v>Tiffany Scardafield</v>
      </c>
      <c r="G181" s="2" t="str" cm="1">
        <f t="array" ref="G181">IF(_xlfn.XLOOKUP(C181,customers!A180:$A$1001,customers!C180:$C$1001,,0)=0,"",_xlfn.XLOOKUP(C181,customers!A180:$A$1001,customers!C180:$C$1001,,0))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2">
      <c r="A182" s="2" t="s">
        <v>1503</v>
      </c>
      <c r="B182" s="3">
        <v>43910</v>
      </c>
      <c r="C182" s="2" t="s">
        <v>1504</v>
      </c>
      <c r="D182" t="s">
        <v>6184</v>
      </c>
      <c r="E182" s="2">
        <v>5</v>
      </c>
      <c r="F182" s="2" t="str">
        <f>_xlfn.XLOOKUP(C182,customers!$A$1:$A$1001,customers!$B$1:$B$1001,,0)</f>
        <v>Abrahan Mussen</v>
      </c>
      <c r="G182" s="2" t="str" cm="1">
        <f t="array" ref="G182">IF(_xlfn.XLOOKUP(C182,customers!A181:$A$1001,customers!C181:$C$1001,,0)=0,"",_xlfn.XLOOKUP(C182,customers!A181:$A$1001,customers!C181:$C$1001,,0))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2">
      <c r="A183" s="2" t="s">
        <v>1503</v>
      </c>
      <c r="B183" s="3">
        <v>43910</v>
      </c>
      <c r="C183" s="2" t="s">
        <v>1504</v>
      </c>
      <c r="D183" t="s">
        <v>6158</v>
      </c>
      <c r="E183" s="2">
        <v>5</v>
      </c>
      <c r="F183" s="2" t="str">
        <f>_xlfn.XLOOKUP(C183,customers!$A$1:$A$1001,customers!$B$1:$B$1001,,0)</f>
        <v>Abrahan Mussen</v>
      </c>
      <c r="G183" s="2" t="str" cm="1">
        <f t="array" ref="G183">IF(_xlfn.XLOOKUP(C183,customers!A182:$A$1001,customers!C182:$C$1001,,0)=0,"",_xlfn.XLOOKUP(C183,customers!A182:$A$1001,customers!C182:$C$1001,,0))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2">
      <c r="A184" s="2" t="s">
        <v>1514</v>
      </c>
      <c r="B184" s="3">
        <v>44284</v>
      </c>
      <c r="C184" s="2" t="s">
        <v>1515</v>
      </c>
      <c r="D184" t="s">
        <v>6172</v>
      </c>
      <c r="E184" s="2">
        <v>6</v>
      </c>
      <c r="F184" s="2" t="str">
        <f>_xlfn.XLOOKUP(C184,customers!$A$1:$A$1001,customers!$B$1:$B$1001,,0)</f>
        <v>Anny Mundford</v>
      </c>
      <c r="G184" s="2" t="str" cm="1">
        <f t="array" ref="G184">IF(_xlfn.XLOOKUP(C184,customers!A183:$A$1001,customers!C183:$C$1001,,0)=0,"",_xlfn.XLOOKUP(C184,customers!A183:$A$1001,customers!C183:$C$1001,,0))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2">
      <c r="A185" s="2" t="s">
        <v>1520</v>
      </c>
      <c r="B185" s="3">
        <v>44512</v>
      </c>
      <c r="C185" s="2" t="s">
        <v>1521</v>
      </c>
      <c r="D185" t="s">
        <v>6156</v>
      </c>
      <c r="E185" s="2">
        <v>2</v>
      </c>
      <c r="F185" s="2" t="str">
        <f>_xlfn.XLOOKUP(C185,customers!$A$1:$A$1001,customers!$B$1:$B$1001,,0)</f>
        <v>Tory Walas</v>
      </c>
      <c r="G185" s="2" t="str" cm="1">
        <f t="array" ref="G185">IF(_xlfn.XLOOKUP(C185,customers!A184:$A$1001,customers!C184:$C$1001,,0)=0,"",_xlfn.XLOOKUP(C185,customers!A184:$A$1001,customers!C184:$C$1001,,0))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2">
      <c r="A186" s="2" t="s">
        <v>1526</v>
      </c>
      <c r="B186" s="3">
        <v>44397</v>
      </c>
      <c r="C186" s="2" t="s">
        <v>1527</v>
      </c>
      <c r="D186" t="s">
        <v>6180</v>
      </c>
      <c r="E186" s="2">
        <v>4</v>
      </c>
      <c r="F186" s="2" t="str">
        <f>_xlfn.XLOOKUP(C186,customers!$A$1:$A$1001,customers!$B$1:$B$1001,,0)</f>
        <v>Isa Blazewicz</v>
      </c>
      <c r="G186" s="2" t="str" cm="1">
        <f t="array" ref="G186">IF(_xlfn.XLOOKUP(C186,customers!A185:$A$1001,customers!C185:$C$1001,,0)=0,"",_xlfn.XLOOKUP(C186,customers!A185:$A$1001,customers!C185:$C$1001,,0))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2">
      <c r="A187" s="2" t="s">
        <v>1532</v>
      </c>
      <c r="B187" s="3">
        <v>43483</v>
      </c>
      <c r="C187" s="2" t="s">
        <v>1533</v>
      </c>
      <c r="D187" t="s">
        <v>6144</v>
      </c>
      <c r="E187" s="2">
        <v>5</v>
      </c>
      <c r="F187" s="2" t="str">
        <f>_xlfn.XLOOKUP(C187,customers!$A$1:$A$1001,customers!$B$1:$B$1001,,0)</f>
        <v>Angie Rizzetti</v>
      </c>
      <c r="G187" s="2" t="str" cm="1">
        <f t="array" ref="G187">IF(_xlfn.XLOOKUP(C187,customers!A186:$A$1001,customers!C186:$C$1001,,0)=0,"",_xlfn.XLOOKUP(C187,customers!A186:$A$1001,customers!C186:$C$1001,,0))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2">
      <c r="A188" s="2" t="s">
        <v>1538</v>
      </c>
      <c r="B188" s="3">
        <v>43684</v>
      </c>
      <c r="C188" s="2" t="s">
        <v>1539</v>
      </c>
      <c r="D188" t="s">
        <v>6151</v>
      </c>
      <c r="E188" s="2">
        <v>3</v>
      </c>
      <c r="F188" s="2" t="str">
        <f>_xlfn.XLOOKUP(C188,customers!$A$1:$A$1001,customers!$B$1:$B$1001,,0)</f>
        <v>Mord Meriet</v>
      </c>
      <c r="G188" s="2" t="str" cm="1">
        <f t="array" ref="G188">IF(_xlfn.XLOOKUP(C188,customers!A187:$A$1001,customers!C187:$C$1001,,0)=0,"",_xlfn.XLOOKUP(C188,customers!A187:$A$1001,customers!C187:$C$1001,,0))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2">
      <c r="A189" s="2" t="s">
        <v>1544</v>
      </c>
      <c r="B189" s="3">
        <v>44633</v>
      </c>
      <c r="C189" s="2" t="s">
        <v>1545</v>
      </c>
      <c r="D189" t="s">
        <v>6160</v>
      </c>
      <c r="E189" s="2">
        <v>5</v>
      </c>
      <c r="F189" s="2" t="str">
        <f>_xlfn.XLOOKUP(C189,customers!$A$1:$A$1001,customers!$B$1:$B$1001,,0)</f>
        <v>Lawrence Pratt</v>
      </c>
      <c r="G189" s="2" t="str" cm="1">
        <f t="array" ref="G189">IF(_xlfn.XLOOKUP(C189,customers!A188:$A$1001,customers!C188:$C$1001,,0)=0,"",_xlfn.XLOOKUP(C189,customers!A188:$A$1001,customers!C188:$C$1001,,0))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2">
      <c r="A190" s="2" t="s">
        <v>1549</v>
      </c>
      <c r="B190" s="3">
        <v>44698</v>
      </c>
      <c r="C190" s="2" t="s">
        <v>1550</v>
      </c>
      <c r="D190" t="s">
        <v>6184</v>
      </c>
      <c r="E190" s="2">
        <v>1</v>
      </c>
      <c r="F190" s="2" t="str">
        <f>_xlfn.XLOOKUP(C190,customers!$A$1:$A$1001,customers!$B$1:$B$1001,,0)</f>
        <v>Astrix Kitchingham</v>
      </c>
      <c r="G190" s="2" t="str" cm="1">
        <f t="array" ref="G190">IF(_xlfn.XLOOKUP(C190,customers!A189:$A$1001,customers!C189:$C$1001,,0)=0,"",_xlfn.XLOOKUP(C190,customers!A189:$A$1001,customers!C189:$C$1001,,0))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2">
      <c r="A191" s="2" t="s">
        <v>1555</v>
      </c>
      <c r="B191" s="3">
        <v>43813</v>
      </c>
      <c r="C191" s="2" t="s">
        <v>1556</v>
      </c>
      <c r="D191" t="s">
        <v>6162</v>
      </c>
      <c r="E191" s="2">
        <v>3</v>
      </c>
      <c r="F191" s="2" t="str">
        <f>_xlfn.XLOOKUP(C191,customers!$A$1:$A$1001,customers!$B$1:$B$1001,,0)</f>
        <v>Burnard Bartholin</v>
      </c>
      <c r="G191" s="2" t="str" cm="1">
        <f t="array" ref="G191">IF(_xlfn.XLOOKUP(C191,customers!A190:$A$1001,customers!C190:$C$1001,,0)=0,"",_xlfn.XLOOKUP(C191,customers!A190:$A$1001,customers!C190:$C$1001,,0))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2">
      <c r="A192" s="2" t="s">
        <v>1561</v>
      </c>
      <c r="B192" s="3">
        <v>43845</v>
      </c>
      <c r="C192" s="2" t="s">
        <v>1562</v>
      </c>
      <c r="D192" t="s">
        <v>6181</v>
      </c>
      <c r="E192" s="2">
        <v>1</v>
      </c>
      <c r="F192" s="2" t="str">
        <f>_xlfn.XLOOKUP(C192,customers!$A$1:$A$1001,customers!$B$1:$B$1001,,0)</f>
        <v>Madelene Prinn</v>
      </c>
      <c r="G192" s="2" t="str" cm="1">
        <f t="array" ref="G192">IF(_xlfn.XLOOKUP(C192,customers!A191:$A$1001,customers!C191:$C$1001,,0)=0,"",_xlfn.XLOOKUP(C192,customers!A191:$A$1001,customers!C191:$C$1001,,0))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2">
      <c r="A193" s="2" t="s">
        <v>1567</v>
      </c>
      <c r="B193" s="3">
        <v>43567</v>
      </c>
      <c r="C193" s="2" t="s">
        <v>1568</v>
      </c>
      <c r="D193" t="s">
        <v>6150</v>
      </c>
      <c r="E193" s="2">
        <v>5</v>
      </c>
      <c r="F193" s="2" t="str">
        <f>_xlfn.XLOOKUP(C193,customers!$A$1:$A$1001,customers!$B$1:$B$1001,,0)</f>
        <v>Alisun Baudino</v>
      </c>
      <c r="G193" s="2" t="str" cm="1">
        <f t="array" ref="G193">IF(_xlfn.XLOOKUP(C193,customers!A192:$A$1001,customers!C192:$C$1001,,0)=0,"",_xlfn.XLOOKUP(C193,customers!A192:$A$1001,customers!C192:$C$1001,,0))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2">
      <c r="A194" s="2" t="s">
        <v>1573</v>
      </c>
      <c r="B194" s="3">
        <v>43919</v>
      </c>
      <c r="C194" s="2" t="s">
        <v>1574</v>
      </c>
      <c r="D194" t="s">
        <v>6183</v>
      </c>
      <c r="E194" s="2">
        <v>6</v>
      </c>
      <c r="F194" s="2" t="str">
        <f>_xlfn.XLOOKUP(C194,customers!$A$1:$A$1001,customers!$B$1:$B$1001,,0)</f>
        <v>Philipa Petrushanko</v>
      </c>
      <c r="G194" s="2" t="str" cm="1">
        <f t="array" ref="G194">IF(_xlfn.XLOOKUP(C194,customers!A193:$A$1001,customers!C193:$C$1001,,0)=0,"",_xlfn.XLOOKUP(C194,customers!A193:$A$1001,customers!C193:$C$1001,,0))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2">
      <c r="A195" s="2" t="s">
        <v>1579</v>
      </c>
      <c r="B195" s="3">
        <v>44644</v>
      </c>
      <c r="C195" s="2" t="s">
        <v>1580</v>
      </c>
      <c r="D195" t="s">
        <v>6171</v>
      </c>
      <c r="E195" s="2">
        <v>3</v>
      </c>
      <c r="F195" s="2" t="str">
        <f>_xlfn.XLOOKUP(C195,customers!$A$1:$A$1001,customers!$B$1:$B$1001,,0)</f>
        <v>Kimberli Mustchin</v>
      </c>
      <c r="G195" s="2" t="str" cm="1">
        <f t="array" ref="G195">IF(_xlfn.XLOOKUP(C195,customers!A194:$A$1001,customers!C194:$C$1001,,0)=0,"",_xlfn.XLOOKUP(C195,customers!A194:$A$1001,customers!C194:$C$1001,,0))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 "Robusta", IF(I195="Exc", "Excelsa", IF(I195="Ara", "Arabica", IF(I195="Lib", "Liberica", ""))))</f>
        <v>Excelsa</v>
      </c>
      <c r="O195" t="str">
        <f t="shared" ref="O195:O258" si="11">IF(J195="M", "Medium", IF(J195="L", "Light", IF(J195="D", "Dark", "")))</f>
        <v>Light</v>
      </c>
      <c r="P195" t="str">
        <f>_xlfn.XLOOKUP(Orders[[#This Row],[Customer ID]],customers!$A$1:$A$1001,customers!$I$1:$I$1001,,0)</f>
        <v>No</v>
      </c>
    </row>
    <row r="196" spans="1:16" x14ac:dyDescent="0.2">
      <c r="A196" s="2" t="s">
        <v>1584</v>
      </c>
      <c r="B196" s="3">
        <v>44398</v>
      </c>
      <c r="C196" s="2" t="s">
        <v>1585</v>
      </c>
      <c r="D196" t="s">
        <v>6144</v>
      </c>
      <c r="E196" s="2">
        <v>5</v>
      </c>
      <c r="F196" s="2" t="str">
        <f>_xlfn.XLOOKUP(C196,customers!$A$1:$A$1001,customers!$B$1:$B$1001,,0)</f>
        <v>Emlynne Laird</v>
      </c>
      <c r="G196" s="2" t="str" cm="1">
        <f t="array" ref="G196">IF(_xlfn.XLOOKUP(C196,customers!A195:$A$1001,customers!C195:$C$1001,,0)=0,"",_xlfn.XLOOKUP(C196,customers!A195:$A$1001,customers!C195:$C$1001,,0))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2">
      <c r="A197" s="2" t="s">
        <v>1590</v>
      </c>
      <c r="B197" s="3">
        <v>43683</v>
      </c>
      <c r="C197" s="2" t="s">
        <v>1591</v>
      </c>
      <c r="D197" t="s">
        <v>6140</v>
      </c>
      <c r="E197" s="2">
        <v>3</v>
      </c>
      <c r="F197" s="2" t="str">
        <f>_xlfn.XLOOKUP(C197,customers!$A$1:$A$1001,customers!$B$1:$B$1001,,0)</f>
        <v>Marlena Howsden</v>
      </c>
      <c r="G197" s="2" t="str" cm="1">
        <f t="array" ref="G197">IF(_xlfn.XLOOKUP(C197,customers!A196:$A$1001,customers!C196:$C$1001,,0)=0,"",_xlfn.XLOOKUP(C197,customers!A196:$A$1001,customers!C196:$C$1001,,0))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2">
      <c r="A198" s="2" t="s">
        <v>1596</v>
      </c>
      <c r="B198" s="3">
        <v>44339</v>
      </c>
      <c r="C198" s="2" t="s">
        <v>1597</v>
      </c>
      <c r="D198" t="s">
        <v>6176</v>
      </c>
      <c r="E198" s="2">
        <v>6</v>
      </c>
      <c r="F198" s="2" t="str">
        <f>_xlfn.XLOOKUP(C198,customers!$A$1:$A$1001,customers!$B$1:$B$1001,,0)</f>
        <v>Nealson Cuttler</v>
      </c>
      <c r="G198" s="2" t="str" cm="1">
        <f t="array" ref="G198">IF(_xlfn.XLOOKUP(C198,customers!A197:$A$1001,customers!C197:$C$1001,,0)=0,"",_xlfn.XLOOKUP(C198,customers!A197:$A$1001,customers!C197:$C$1001,,0))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2">
      <c r="A199" s="2" t="s">
        <v>1596</v>
      </c>
      <c r="B199" s="3">
        <v>44339</v>
      </c>
      <c r="C199" s="2" t="s">
        <v>1597</v>
      </c>
      <c r="D199" t="s">
        <v>6165</v>
      </c>
      <c r="E199" s="2">
        <v>2</v>
      </c>
      <c r="F199" s="2" t="str">
        <f>_xlfn.XLOOKUP(C199,customers!$A$1:$A$1001,customers!$B$1:$B$1001,,0)</f>
        <v>Nealson Cuttler</v>
      </c>
      <c r="G199" s="2" t="str" cm="1">
        <f t="array" ref="G199">IF(_xlfn.XLOOKUP(C199,customers!A198:$A$1001,customers!C198:$C$1001,,0)=0,"",_xlfn.XLOOKUP(C199,customers!A198:$A$1001,customers!C198:$C$1001,,0))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2">
      <c r="A200" s="2" t="s">
        <v>1596</v>
      </c>
      <c r="B200" s="3">
        <v>44339</v>
      </c>
      <c r="C200" s="2" t="s">
        <v>1597</v>
      </c>
      <c r="D200" t="s">
        <v>6165</v>
      </c>
      <c r="E200" s="2">
        <v>3</v>
      </c>
      <c r="F200" s="2" t="str">
        <f>_xlfn.XLOOKUP(C200,customers!$A$1:$A$1001,customers!$B$1:$B$1001,,0)</f>
        <v>Nealson Cuttler</v>
      </c>
      <c r="G200" s="2" t="e" cm="1">
        <f t="array" ref="G200">IF(_xlfn.XLOOKUP(C200,customers!A199:$A$1001,customers!C199:$C$1001,,0)=0,"",_xlfn.XLOOKUP(C200,customers!A199:$A$1001,customers!C199:$C$1001,,0))</f>
        <v>#N/A</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2">
      <c r="A201" s="2" t="s">
        <v>1596</v>
      </c>
      <c r="B201" s="3">
        <v>44339</v>
      </c>
      <c r="C201" s="2" t="s">
        <v>1597</v>
      </c>
      <c r="D201" t="s">
        <v>6161</v>
      </c>
      <c r="E201" s="2">
        <v>4</v>
      </c>
      <c r="F201" s="2" t="str">
        <f>_xlfn.XLOOKUP(C201,customers!$A$1:$A$1001,customers!$B$1:$B$1001,,0)</f>
        <v>Nealson Cuttler</v>
      </c>
      <c r="G201" s="2" t="e" cm="1">
        <f t="array" ref="G201">IF(_xlfn.XLOOKUP(C201,customers!A200:$A$1001,customers!C200:$C$1001,,0)=0,"",_xlfn.XLOOKUP(C201,customers!A200:$A$1001,customers!C200:$C$1001,,0))</f>
        <v>#N/A</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2">
      <c r="A202" s="2" t="s">
        <v>1596</v>
      </c>
      <c r="B202" s="3">
        <v>44339</v>
      </c>
      <c r="C202" s="2" t="s">
        <v>1597</v>
      </c>
      <c r="D202" t="s">
        <v>6141</v>
      </c>
      <c r="E202" s="2">
        <v>3</v>
      </c>
      <c r="F202" s="2" t="str">
        <f>_xlfn.XLOOKUP(C202,customers!$A$1:$A$1001,customers!$B$1:$B$1001,,0)</f>
        <v>Nealson Cuttler</v>
      </c>
      <c r="G202" s="2" t="e" cm="1">
        <f t="array" ref="G202">IF(_xlfn.XLOOKUP(C202,customers!A201:$A$1001,customers!C201:$C$1001,,0)=0,"",_xlfn.XLOOKUP(C202,customers!A201:$A$1001,customers!C201:$C$1001,,0))</f>
        <v>#N/A</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2">
      <c r="A203" s="2" t="s">
        <v>1621</v>
      </c>
      <c r="B203" s="3">
        <v>44294</v>
      </c>
      <c r="C203" s="2" t="s">
        <v>1622</v>
      </c>
      <c r="D203" t="s">
        <v>6161</v>
      </c>
      <c r="E203" s="2">
        <v>6</v>
      </c>
      <c r="F203" s="2" t="str">
        <f>_xlfn.XLOOKUP(C203,customers!$A$1:$A$1001,customers!$B$1:$B$1001,,0)</f>
        <v>Adriana Lazarus</v>
      </c>
      <c r="G203" s="2" t="str" cm="1">
        <f t="array" ref="G203">IF(_xlfn.XLOOKUP(C203,customers!A202:$A$1001,customers!C202:$C$1001,,0)=0,"",_xlfn.XLOOKUP(C203,customers!A202:$A$1001,customers!C202:$C$1001,,0))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2">
      <c r="A204" s="2" t="s">
        <v>1626</v>
      </c>
      <c r="B204" s="3">
        <v>44486</v>
      </c>
      <c r="C204" s="2" t="s">
        <v>1627</v>
      </c>
      <c r="D204" t="s">
        <v>6165</v>
      </c>
      <c r="E204" s="2">
        <v>6</v>
      </c>
      <c r="F204" s="2" t="str">
        <f>_xlfn.XLOOKUP(C204,customers!$A$1:$A$1001,customers!$B$1:$B$1001,,0)</f>
        <v>Tallie felip</v>
      </c>
      <c r="G204" s="2" t="str" cm="1">
        <f t="array" ref="G204">IF(_xlfn.XLOOKUP(C204,customers!A203:$A$1001,customers!C203:$C$1001,,0)=0,"",_xlfn.XLOOKUP(C204,customers!A203:$A$1001,customers!C203:$C$1001,,0))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2">
      <c r="A205" s="2" t="s">
        <v>1632</v>
      </c>
      <c r="B205" s="3">
        <v>44608</v>
      </c>
      <c r="C205" s="2" t="s">
        <v>1633</v>
      </c>
      <c r="D205" t="s">
        <v>6145</v>
      </c>
      <c r="E205" s="2">
        <v>1</v>
      </c>
      <c r="F205" s="2" t="str">
        <f>_xlfn.XLOOKUP(C205,customers!$A$1:$A$1001,customers!$B$1:$B$1001,,0)</f>
        <v>Vanna Le - Count</v>
      </c>
      <c r="G205" s="2" t="str" cm="1">
        <f t="array" ref="G205">IF(_xlfn.XLOOKUP(C205,customers!A204:$A$1001,customers!C204:$C$1001,,0)=0,"",_xlfn.XLOOKUP(C205,customers!A204:$A$1001,customers!C204:$C$1001,,0))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2">
      <c r="A206" s="2" t="s">
        <v>1638</v>
      </c>
      <c r="B206" s="3">
        <v>44027</v>
      </c>
      <c r="C206" s="2" t="s">
        <v>1639</v>
      </c>
      <c r="D206" t="s">
        <v>6141</v>
      </c>
      <c r="E206" s="2">
        <v>6</v>
      </c>
      <c r="F206" s="2" t="str">
        <f>_xlfn.XLOOKUP(C206,customers!$A$1:$A$1001,customers!$B$1:$B$1001,,0)</f>
        <v>Sarette Ducarel</v>
      </c>
      <c r="G206" s="2" t="str" cm="1">
        <f t="array" ref="G206">IF(_xlfn.XLOOKUP(C206,customers!A205:$A$1001,customers!C205:$C$1001,,0)=0,"",_xlfn.XLOOKUP(C206,customers!A205:$A$1001,customers!C205:$C$1001,,0))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2">
      <c r="A207" s="2" t="s">
        <v>1643</v>
      </c>
      <c r="B207" s="3">
        <v>43883</v>
      </c>
      <c r="C207" s="2" t="s">
        <v>1644</v>
      </c>
      <c r="D207" t="s">
        <v>6163</v>
      </c>
      <c r="E207" s="2">
        <v>3</v>
      </c>
      <c r="F207" s="2" t="str">
        <f>_xlfn.XLOOKUP(C207,customers!$A$1:$A$1001,customers!$B$1:$B$1001,,0)</f>
        <v>Kendra Glison</v>
      </c>
      <c r="G207" s="2" t="str" cm="1">
        <f t="array" ref="G207">IF(_xlfn.XLOOKUP(C207,customers!A206:$A$1001,customers!C206:$C$1001,,0)=0,"",_xlfn.XLOOKUP(C207,customers!A206:$A$1001,customers!C206:$C$1001,,0))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2">
      <c r="A208" s="2" t="s">
        <v>1648</v>
      </c>
      <c r="B208" s="3">
        <v>44211</v>
      </c>
      <c r="C208" s="2" t="s">
        <v>1649</v>
      </c>
      <c r="D208" t="s">
        <v>6155</v>
      </c>
      <c r="E208" s="2">
        <v>2</v>
      </c>
      <c r="F208" s="2" t="str">
        <f>_xlfn.XLOOKUP(C208,customers!$A$1:$A$1001,customers!$B$1:$B$1001,,0)</f>
        <v>Nertie Poolman</v>
      </c>
      <c r="G208" s="2" t="str" cm="1">
        <f t="array" ref="G208">IF(_xlfn.XLOOKUP(C208,customers!A207:$A$1001,customers!C207:$C$1001,,0)=0,"",_xlfn.XLOOKUP(C208,customers!A207:$A$1001,customers!C207:$C$1001,,0))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2">
      <c r="A209" s="2" t="s">
        <v>1653</v>
      </c>
      <c r="B209" s="3">
        <v>44207</v>
      </c>
      <c r="C209" s="2" t="s">
        <v>1654</v>
      </c>
      <c r="D209" t="s">
        <v>6157</v>
      </c>
      <c r="E209" s="2">
        <v>6</v>
      </c>
      <c r="F209" s="2" t="str">
        <f>_xlfn.XLOOKUP(C209,customers!$A$1:$A$1001,customers!$B$1:$B$1001,,0)</f>
        <v>Orbadiah Duny</v>
      </c>
      <c r="G209" s="2" t="str" cm="1">
        <f t="array" ref="G209">IF(_xlfn.XLOOKUP(C209,customers!A208:$A$1001,customers!C208:$C$1001,,0)=0,"",_xlfn.XLOOKUP(C209,customers!A208:$A$1001,customers!C208:$C$1001,,0))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2">
      <c r="A210" s="2" t="s">
        <v>1659</v>
      </c>
      <c r="B210" s="3">
        <v>44659</v>
      </c>
      <c r="C210" s="2" t="s">
        <v>1660</v>
      </c>
      <c r="D210" t="s">
        <v>6144</v>
      </c>
      <c r="E210" s="2">
        <v>4</v>
      </c>
      <c r="F210" s="2" t="str">
        <f>_xlfn.XLOOKUP(C210,customers!$A$1:$A$1001,customers!$B$1:$B$1001,,0)</f>
        <v>Constance Halfhide</v>
      </c>
      <c r="G210" s="2" t="str" cm="1">
        <f t="array" ref="G210">IF(_xlfn.XLOOKUP(C210,customers!A209:$A$1001,customers!C209:$C$1001,,0)=0,"",_xlfn.XLOOKUP(C210,customers!A209:$A$1001,customers!C209:$C$1001,,0))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2">
      <c r="A211" s="2" t="s">
        <v>1665</v>
      </c>
      <c r="B211" s="3">
        <v>44105</v>
      </c>
      <c r="C211" s="2" t="s">
        <v>1666</v>
      </c>
      <c r="D211" t="s">
        <v>6157</v>
      </c>
      <c r="E211" s="2">
        <v>1</v>
      </c>
      <c r="F211" s="2" t="str">
        <f>_xlfn.XLOOKUP(C211,customers!$A$1:$A$1001,customers!$B$1:$B$1001,,0)</f>
        <v>Fransisco Malecky</v>
      </c>
      <c r="G211" s="2" t="str" cm="1">
        <f t="array" ref="G211">IF(_xlfn.XLOOKUP(C211,customers!A210:$A$1001,customers!C210:$C$1001,,0)=0,"",_xlfn.XLOOKUP(C211,customers!A210:$A$1001,customers!C210:$C$1001,,0))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2">
      <c r="A212" s="2" t="s">
        <v>1671</v>
      </c>
      <c r="B212" s="3">
        <v>43766</v>
      </c>
      <c r="C212" s="2" t="s">
        <v>1672</v>
      </c>
      <c r="D212" t="s">
        <v>6143</v>
      </c>
      <c r="E212" s="2">
        <v>4</v>
      </c>
      <c r="F212" s="2" t="str">
        <f>_xlfn.XLOOKUP(C212,customers!$A$1:$A$1001,customers!$B$1:$B$1001,,0)</f>
        <v>Anselma Attwater</v>
      </c>
      <c r="G212" s="2" t="str" cm="1">
        <f t="array" ref="G212">IF(_xlfn.XLOOKUP(C212,customers!A211:$A$1001,customers!C211:$C$1001,,0)=0,"",_xlfn.XLOOKUP(C212,customers!A211:$A$1001,customers!C211:$C$1001,,0))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2">
      <c r="A213" s="2" t="s">
        <v>1677</v>
      </c>
      <c r="B213" s="3">
        <v>44283</v>
      </c>
      <c r="C213" s="2" t="s">
        <v>1678</v>
      </c>
      <c r="D213" t="s">
        <v>6176</v>
      </c>
      <c r="E213" s="2">
        <v>6</v>
      </c>
      <c r="F213" s="2" t="str">
        <f>_xlfn.XLOOKUP(C213,customers!$A$1:$A$1001,customers!$B$1:$B$1001,,0)</f>
        <v>Minette Whellans</v>
      </c>
      <c r="G213" s="2" t="str" cm="1">
        <f t="array" ref="G213">IF(_xlfn.XLOOKUP(C213,customers!A212:$A$1001,customers!C212:$C$1001,,0)=0,"",_xlfn.XLOOKUP(C213,customers!A212:$A$1001,customers!C212:$C$1001,,0))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2">
      <c r="A214" s="2" t="s">
        <v>1682</v>
      </c>
      <c r="B214" s="3">
        <v>43921</v>
      </c>
      <c r="C214" s="2" t="s">
        <v>1683</v>
      </c>
      <c r="D214" t="s">
        <v>6153</v>
      </c>
      <c r="E214" s="2">
        <v>4</v>
      </c>
      <c r="F214" s="2" t="str">
        <f>_xlfn.XLOOKUP(C214,customers!$A$1:$A$1001,customers!$B$1:$B$1001,,0)</f>
        <v>Dael Camilletti</v>
      </c>
      <c r="G214" s="2" t="str" cm="1">
        <f t="array" ref="G214">IF(_xlfn.XLOOKUP(C214,customers!A213:$A$1001,customers!C213:$C$1001,,0)=0,"",_xlfn.XLOOKUP(C214,customers!A213:$A$1001,customers!C213:$C$1001,,0))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2">
      <c r="A215" s="2" t="s">
        <v>1688</v>
      </c>
      <c r="B215" s="3">
        <v>44646</v>
      </c>
      <c r="C215" s="2" t="s">
        <v>1689</v>
      </c>
      <c r="D215" t="s">
        <v>6149</v>
      </c>
      <c r="E215" s="2">
        <v>1</v>
      </c>
      <c r="F215" s="2" t="str">
        <f>_xlfn.XLOOKUP(C215,customers!$A$1:$A$1001,customers!$B$1:$B$1001,,0)</f>
        <v>Emiline Galgey</v>
      </c>
      <c r="G215" s="2" t="str" cm="1">
        <f t="array" ref="G215">IF(_xlfn.XLOOKUP(C215,customers!A214:$A$1001,customers!C214:$C$1001,,0)=0,"",_xlfn.XLOOKUP(C215,customers!A214:$A$1001,customers!C214:$C$1001,,0))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2">
      <c r="A216" s="2" t="s">
        <v>1694</v>
      </c>
      <c r="B216" s="3">
        <v>43775</v>
      </c>
      <c r="C216" s="2" t="s">
        <v>1695</v>
      </c>
      <c r="D216" t="s">
        <v>6170</v>
      </c>
      <c r="E216" s="2">
        <v>2</v>
      </c>
      <c r="F216" s="2" t="str">
        <f>_xlfn.XLOOKUP(C216,customers!$A$1:$A$1001,customers!$B$1:$B$1001,,0)</f>
        <v>Murdock Hame</v>
      </c>
      <c r="G216" s="2" t="str" cm="1">
        <f t="array" ref="G216">IF(_xlfn.XLOOKUP(C216,customers!A215:$A$1001,customers!C215:$C$1001,,0)=0,"",_xlfn.XLOOKUP(C216,customers!A215:$A$1001,customers!C215:$C$1001,,0))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2">
      <c r="A217" s="2" t="s">
        <v>1701</v>
      </c>
      <c r="B217" s="3">
        <v>43829</v>
      </c>
      <c r="C217" s="2" t="s">
        <v>1702</v>
      </c>
      <c r="D217" t="s">
        <v>6150</v>
      </c>
      <c r="E217" s="2">
        <v>6</v>
      </c>
      <c r="F217" s="2" t="str">
        <f>_xlfn.XLOOKUP(C217,customers!$A$1:$A$1001,customers!$B$1:$B$1001,,0)</f>
        <v>Ilka Gurnee</v>
      </c>
      <c r="G217" s="2" t="str" cm="1">
        <f t="array" ref="G217">IF(_xlfn.XLOOKUP(C217,customers!A216:$A$1001,customers!C216:$C$1001,,0)=0,"",_xlfn.XLOOKUP(C217,customers!A216:$A$1001,customers!C216:$C$1001,,0))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2">
      <c r="A218" s="2" t="s">
        <v>1707</v>
      </c>
      <c r="B218" s="3">
        <v>44470</v>
      </c>
      <c r="C218" s="2" t="s">
        <v>1708</v>
      </c>
      <c r="D218" t="s">
        <v>6162</v>
      </c>
      <c r="E218" s="2">
        <v>4</v>
      </c>
      <c r="F218" s="2" t="str">
        <f>_xlfn.XLOOKUP(C218,customers!$A$1:$A$1001,customers!$B$1:$B$1001,,0)</f>
        <v>Alfy Snowding</v>
      </c>
      <c r="G218" s="2" t="str" cm="1">
        <f t="array" ref="G218">IF(_xlfn.XLOOKUP(C218,customers!A217:$A$1001,customers!C217:$C$1001,,0)=0,"",_xlfn.XLOOKUP(C218,customers!A217:$A$1001,customers!C217:$C$1001,,0))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2">
      <c r="A219" s="2" t="s">
        <v>1713</v>
      </c>
      <c r="B219" s="3">
        <v>44174</v>
      </c>
      <c r="C219" s="2" t="s">
        <v>1714</v>
      </c>
      <c r="D219" t="s">
        <v>6176</v>
      </c>
      <c r="E219" s="2">
        <v>4</v>
      </c>
      <c r="F219" s="2" t="str">
        <f>_xlfn.XLOOKUP(C219,customers!$A$1:$A$1001,customers!$B$1:$B$1001,,0)</f>
        <v>Godfry Poinsett</v>
      </c>
      <c r="G219" s="2" t="str" cm="1">
        <f t="array" ref="G219">IF(_xlfn.XLOOKUP(C219,customers!A218:$A$1001,customers!C218:$C$1001,,0)=0,"",_xlfn.XLOOKUP(C219,customers!A218:$A$1001,customers!C218:$C$1001,,0))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2">
      <c r="A220" s="2" t="s">
        <v>1719</v>
      </c>
      <c r="B220" s="3">
        <v>44317</v>
      </c>
      <c r="C220" s="2" t="s">
        <v>1720</v>
      </c>
      <c r="D220" t="s">
        <v>6155</v>
      </c>
      <c r="E220" s="2">
        <v>5</v>
      </c>
      <c r="F220" s="2" t="str">
        <f>_xlfn.XLOOKUP(C220,customers!$A$1:$A$1001,customers!$B$1:$B$1001,,0)</f>
        <v>Rem Furman</v>
      </c>
      <c r="G220" s="2" t="str" cm="1">
        <f t="array" ref="G220">IF(_xlfn.XLOOKUP(C220,customers!A219:$A$1001,customers!C219:$C$1001,,0)=0,"",_xlfn.XLOOKUP(C220,customers!A219:$A$1001,customers!C219:$C$1001,,0))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2">
      <c r="A221" s="2" t="s">
        <v>1725</v>
      </c>
      <c r="B221" s="3">
        <v>44777</v>
      </c>
      <c r="C221" s="2" t="s">
        <v>1726</v>
      </c>
      <c r="D221" t="s">
        <v>6178</v>
      </c>
      <c r="E221" s="2">
        <v>3</v>
      </c>
      <c r="F221" s="2" t="str">
        <f>_xlfn.XLOOKUP(C221,customers!$A$1:$A$1001,customers!$B$1:$B$1001,,0)</f>
        <v>Charis Crosier</v>
      </c>
      <c r="G221" s="2" t="str" cm="1">
        <f t="array" ref="G221">IF(_xlfn.XLOOKUP(C221,customers!A220:$A$1001,customers!C220:$C$1001,,0)=0,"",_xlfn.XLOOKUP(C221,customers!A220:$A$1001,customers!C220:$C$1001,,0))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2">
      <c r="A222" s="2" t="s">
        <v>1725</v>
      </c>
      <c r="B222" s="3">
        <v>44777</v>
      </c>
      <c r="C222" s="2" t="s">
        <v>1726</v>
      </c>
      <c r="D222" t="s">
        <v>6174</v>
      </c>
      <c r="E222" s="2">
        <v>5</v>
      </c>
      <c r="F222" s="2" t="str">
        <f>_xlfn.XLOOKUP(C222,customers!$A$1:$A$1001,customers!$B$1:$B$1001,,0)</f>
        <v>Charis Crosier</v>
      </c>
      <c r="G222" s="2" t="str" cm="1">
        <f t="array" ref="G222">IF(_xlfn.XLOOKUP(C222,customers!A221:$A$1001,customers!C221:$C$1001,,0)=0,"",_xlfn.XLOOKUP(C222,customers!A221:$A$1001,customers!C221:$C$1001,,0))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2">
      <c r="A223" s="2" t="s">
        <v>1736</v>
      </c>
      <c r="B223" s="3">
        <v>44513</v>
      </c>
      <c r="C223" s="2" t="s">
        <v>1737</v>
      </c>
      <c r="D223" t="s">
        <v>6140</v>
      </c>
      <c r="E223" s="2">
        <v>6</v>
      </c>
      <c r="F223" s="2" t="str">
        <f>_xlfn.XLOOKUP(C223,customers!$A$1:$A$1001,customers!$B$1:$B$1001,,0)</f>
        <v>Lenka Rushmer</v>
      </c>
      <c r="G223" s="2" t="str" cm="1">
        <f t="array" ref="G223">IF(_xlfn.XLOOKUP(C223,customers!A222:$A$1001,customers!C222:$C$1001,,0)=0,"",_xlfn.XLOOKUP(C223,customers!A222:$A$1001,customers!C222:$C$1001,,0))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2">
      <c r="A224" s="2" t="s">
        <v>1742</v>
      </c>
      <c r="B224" s="3">
        <v>44090</v>
      </c>
      <c r="C224" s="2" t="s">
        <v>1743</v>
      </c>
      <c r="D224" t="s">
        <v>6169</v>
      </c>
      <c r="E224" s="2">
        <v>3</v>
      </c>
      <c r="F224" s="2" t="str">
        <f>_xlfn.XLOOKUP(C224,customers!$A$1:$A$1001,customers!$B$1:$B$1001,,0)</f>
        <v>Waneta Edinborough</v>
      </c>
      <c r="G224" s="2" t="str" cm="1">
        <f t="array" ref="G224">IF(_xlfn.XLOOKUP(C224,customers!A223:$A$1001,customers!C223:$C$1001,,0)=0,"",_xlfn.XLOOKUP(C224,customers!A223:$A$1001,customers!C223:$C$1001,,0))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2">
      <c r="A225" s="2" t="s">
        <v>1748</v>
      </c>
      <c r="B225" s="3">
        <v>44109</v>
      </c>
      <c r="C225" s="2" t="s">
        <v>1749</v>
      </c>
      <c r="D225" t="s">
        <v>6171</v>
      </c>
      <c r="E225" s="2">
        <v>4</v>
      </c>
      <c r="F225" s="2" t="str">
        <f>_xlfn.XLOOKUP(C225,customers!$A$1:$A$1001,customers!$B$1:$B$1001,,0)</f>
        <v>Bobbe Piggott</v>
      </c>
      <c r="G225" s="2" t="str" cm="1">
        <f t="array" ref="G225">IF(_xlfn.XLOOKUP(C225,customers!A224:$A$1001,customers!C224:$C$1001,,0)=0,"",_xlfn.XLOOKUP(C225,customers!A224:$A$1001,customers!C224:$C$1001,,0))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2">
      <c r="A226" s="2" t="s">
        <v>1753</v>
      </c>
      <c r="B226" s="3">
        <v>43836</v>
      </c>
      <c r="C226" s="2" t="s">
        <v>1754</v>
      </c>
      <c r="D226" t="s">
        <v>6165</v>
      </c>
      <c r="E226" s="2">
        <v>4</v>
      </c>
      <c r="F226" s="2" t="str">
        <f>_xlfn.XLOOKUP(C226,customers!$A$1:$A$1001,customers!$B$1:$B$1001,,0)</f>
        <v>Ketty Bromehead</v>
      </c>
      <c r="G226" s="2" t="str" cm="1">
        <f t="array" ref="G226">IF(_xlfn.XLOOKUP(C226,customers!A225:$A$1001,customers!C225:$C$1001,,0)=0,"",_xlfn.XLOOKUP(C226,customers!A225:$A$1001,customers!C225:$C$1001,,0))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2">
      <c r="A227" s="2" t="s">
        <v>1759</v>
      </c>
      <c r="B227" s="3">
        <v>44337</v>
      </c>
      <c r="C227" s="2" t="s">
        <v>1760</v>
      </c>
      <c r="D227" t="s">
        <v>6178</v>
      </c>
      <c r="E227" s="2">
        <v>4</v>
      </c>
      <c r="F227" s="2" t="str">
        <f>_xlfn.XLOOKUP(C227,customers!$A$1:$A$1001,customers!$B$1:$B$1001,,0)</f>
        <v>Elsbeth Westerman</v>
      </c>
      <c r="G227" s="2" t="str" cm="1">
        <f t="array" ref="G227">IF(_xlfn.XLOOKUP(C227,customers!A226:$A$1001,customers!C226:$C$1001,,0)=0,"",_xlfn.XLOOKUP(C227,customers!A226:$A$1001,customers!C226:$C$1001,,0))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2">
      <c r="A228" s="2" t="s">
        <v>1765</v>
      </c>
      <c r="B228" s="3">
        <v>43887</v>
      </c>
      <c r="C228" s="2" t="s">
        <v>1766</v>
      </c>
      <c r="D228" t="s">
        <v>6175</v>
      </c>
      <c r="E228" s="2">
        <v>5</v>
      </c>
      <c r="F228" s="2" t="str">
        <f>_xlfn.XLOOKUP(C228,customers!$A$1:$A$1001,customers!$B$1:$B$1001,,0)</f>
        <v>Anabelle Hutchens</v>
      </c>
      <c r="G228" s="2" t="str" cm="1">
        <f t="array" ref="G228">IF(_xlfn.XLOOKUP(C228,customers!A227:$A$1001,customers!C227:$C$1001,,0)=0,"",_xlfn.XLOOKUP(C228,customers!A227:$A$1001,customers!C227:$C$1001,,0))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2">
      <c r="A229" s="2" t="s">
        <v>1771</v>
      </c>
      <c r="B229" s="3">
        <v>43880</v>
      </c>
      <c r="C229" s="2" t="s">
        <v>1772</v>
      </c>
      <c r="D229" t="s">
        <v>6163</v>
      </c>
      <c r="E229" s="2">
        <v>6</v>
      </c>
      <c r="F229" s="2" t="str">
        <f>_xlfn.XLOOKUP(C229,customers!$A$1:$A$1001,customers!$B$1:$B$1001,,0)</f>
        <v>Noak Wyvill</v>
      </c>
      <c r="G229" s="2" t="str" cm="1">
        <f t="array" ref="G229">IF(_xlfn.XLOOKUP(C229,customers!A228:$A$1001,customers!C228:$C$1001,,0)=0,"",_xlfn.XLOOKUP(C229,customers!A228:$A$1001,customers!C228:$C$1001,,0))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2">
      <c r="A230" s="2" t="s">
        <v>1777</v>
      </c>
      <c r="B230" s="3">
        <v>44376</v>
      </c>
      <c r="C230" s="2" t="s">
        <v>1778</v>
      </c>
      <c r="D230" t="s">
        <v>6178</v>
      </c>
      <c r="E230" s="2">
        <v>5</v>
      </c>
      <c r="F230" s="2" t="str">
        <f>_xlfn.XLOOKUP(C230,customers!$A$1:$A$1001,customers!$B$1:$B$1001,,0)</f>
        <v>Beltran Mathon</v>
      </c>
      <c r="G230" s="2" t="str" cm="1">
        <f t="array" ref="G230">IF(_xlfn.XLOOKUP(C230,customers!A229:$A$1001,customers!C229:$C$1001,,0)=0,"",_xlfn.XLOOKUP(C230,customers!A229:$A$1001,customers!C229:$C$1001,,0))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2">
      <c r="A231" s="2" t="s">
        <v>1783</v>
      </c>
      <c r="B231" s="3">
        <v>44282</v>
      </c>
      <c r="C231" s="2" t="s">
        <v>1784</v>
      </c>
      <c r="D231" t="s">
        <v>6159</v>
      </c>
      <c r="E231" s="2">
        <v>2</v>
      </c>
      <c r="F231" s="2" t="str">
        <f>_xlfn.XLOOKUP(C231,customers!$A$1:$A$1001,customers!$B$1:$B$1001,,0)</f>
        <v>Kristos Streight</v>
      </c>
      <c r="G231" s="2" t="str" cm="1">
        <f t="array" ref="G231">IF(_xlfn.XLOOKUP(C231,customers!A230:$A$1001,customers!C230:$C$1001,,0)=0,"",_xlfn.XLOOKUP(C231,customers!A230:$A$1001,customers!C230:$C$1001,,0))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2">
      <c r="A232" s="2" t="s">
        <v>1789</v>
      </c>
      <c r="B232" s="3">
        <v>44496</v>
      </c>
      <c r="C232" s="2" t="s">
        <v>1790</v>
      </c>
      <c r="D232" t="s">
        <v>6175</v>
      </c>
      <c r="E232" s="2">
        <v>2</v>
      </c>
      <c r="F232" s="2" t="str">
        <f>_xlfn.XLOOKUP(C232,customers!$A$1:$A$1001,customers!$B$1:$B$1001,,0)</f>
        <v>Portie Cutchie</v>
      </c>
      <c r="G232" s="2" t="str" cm="1">
        <f t="array" ref="G232">IF(_xlfn.XLOOKUP(C232,customers!A231:$A$1001,customers!C231:$C$1001,,0)=0,"",_xlfn.XLOOKUP(C232,customers!A231:$A$1001,customers!C231:$C$1001,,0))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2">
      <c r="A233" s="2" t="s">
        <v>1795</v>
      </c>
      <c r="B233" s="3">
        <v>43628</v>
      </c>
      <c r="C233" s="2" t="s">
        <v>1796</v>
      </c>
      <c r="D233" t="s">
        <v>6159</v>
      </c>
      <c r="E233" s="2">
        <v>2</v>
      </c>
      <c r="F233" s="2" t="str">
        <f>_xlfn.XLOOKUP(C233,customers!$A$1:$A$1001,customers!$B$1:$B$1001,,0)</f>
        <v>Sinclare Edsell</v>
      </c>
      <c r="G233" s="2" t="str" cm="1">
        <f t="array" ref="G233">IF(_xlfn.XLOOKUP(C233,customers!A232:$A$1001,customers!C232:$C$1001,,0)=0,"",_xlfn.XLOOKUP(C233,customers!A232:$A$1001,customers!C232:$C$1001,,0))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2">
      <c r="A234" s="2" t="s">
        <v>1800</v>
      </c>
      <c r="B234" s="3">
        <v>44010</v>
      </c>
      <c r="C234" s="2" t="s">
        <v>1801</v>
      </c>
      <c r="D234" t="s">
        <v>6145</v>
      </c>
      <c r="E234" s="2">
        <v>5</v>
      </c>
      <c r="F234" s="2" t="str">
        <f>_xlfn.XLOOKUP(C234,customers!$A$1:$A$1001,customers!$B$1:$B$1001,,0)</f>
        <v>Conny Gheraldi</v>
      </c>
      <c r="G234" s="2" t="str" cm="1">
        <f t="array" ref="G234">IF(_xlfn.XLOOKUP(C234,customers!A233:$A$1001,customers!C233:$C$1001,,0)=0,"",_xlfn.XLOOKUP(C234,customers!A233:$A$1001,customers!C233:$C$1001,,0))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2">
      <c r="A235" s="2" t="s">
        <v>1806</v>
      </c>
      <c r="B235" s="3">
        <v>44278</v>
      </c>
      <c r="C235" s="2" t="s">
        <v>1807</v>
      </c>
      <c r="D235" t="s">
        <v>6156</v>
      </c>
      <c r="E235" s="2">
        <v>5</v>
      </c>
      <c r="F235" s="2" t="str">
        <f>_xlfn.XLOOKUP(C235,customers!$A$1:$A$1001,customers!$B$1:$B$1001,,0)</f>
        <v>Beryle Kenwell</v>
      </c>
      <c r="G235" s="2" t="str" cm="1">
        <f t="array" ref="G235">IF(_xlfn.XLOOKUP(C235,customers!A234:$A$1001,customers!C234:$C$1001,,0)=0,"",_xlfn.XLOOKUP(C235,customers!A234:$A$1001,customers!C234:$C$1001,,0))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2">
      <c r="A236" s="2" t="s">
        <v>1812</v>
      </c>
      <c r="B236" s="3">
        <v>44602</v>
      </c>
      <c r="C236" s="2" t="s">
        <v>1813</v>
      </c>
      <c r="D236" t="s">
        <v>6164</v>
      </c>
      <c r="E236" s="2">
        <v>1</v>
      </c>
      <c r="F236" s="2" t="str">
        <f>_xlfn.XLOOKUP(C236,customers!$A$1:$A$1001,customers!$B$1:$B$1001,,0)</f>
        <v>Tomas Sutty</v>
      </c>
      <c r="G236" s="2" t="str" cm="1">
        <f t="array" ref="G236">IF(_xlfn.XLOOKUP(C236,customers!A235:$A$1001,customers!C235:$C$1001,,0)=0,"",_xlfn.XLOOKUP(C236,customers!A235:$A$1001,customers!C235:$C$1001,,0))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2">
      <c r="A237" s="2" t="s">
        <v>1818</v>
      </c>
      <c r="B237" s="3">
        <v>43571</v>
      </c>
      <c r="C237" s="2" t="s">
        <v>1819</v>
      </c>
      <c r="D237" t="s">
        <v>6164</v>
      </c>
      <c r="E237" s="2">
        <v>5</v>
      </c>
      <c r="F237" s="2" t="str">
        <f>_xlfn.XLOOKUP(C237,customers!$A$1:$A$1001,customers!$B$1:$B$1001,,0)</f>
        <v>Samuele Ales0</v>
      </c>
      <c r="G237" s="2" t="str" cm="1">
        <f t="array" ref="G237">IF(_xlfn.XLOOKUP(C237,customers!A236:$A$1001,customers!C236:$C$1001,,0)=0,"",_xlfn.XLOOKUP(C237,customers!A236:$A$1001,customers!C236:$C$1001,,0))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2">
      <c r="A238" s="2" t="s">
        <v>1822</v>
      </c>
      <c r="B238" s="3">
        <v>43873</v>
      </c>
      <c r="C238" s="2" t="s">
        <v>1823</v>
      </c>
      <c r="D238" t="s">
        <v>6165</v>
      </c>
      <c r="E238" s="2">
        <v>3</v>
      </c>
      <c r="F238" s="2" t="str">
        <f>_xlfn.XLOOKUP(C238,customers!$A$1:$A$1001,customers!$B$1:$B$1001,,0)</f>
        <v>Carlie Harce</v>
      </c>
      <c r="G238" s="2" t="str" cm="1">
        <f t="array" ref="G238">IF(_xlfn.XLOOKUP(C238,customers!A237:$A$1001,customers!C237:$C$1001,,0)=0,"",_xlfn.XLOOKUP(C238,customers!A237:$A$1001,customers!C237:$C$1001,,0))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2">
      <c r="A239" s="2" t="s">
        <v>1828</v>
      </c>
      <c r="B239" s="3">
        <v>44563</v>
      </c>
      <c r="C239" s="2" t="s">
        <v>1829</v>
      </c>
      <c r="D239" t="s">
        <v>6178</v>
      </c>
      <c r="E239" s="2">
        <v>1</v>
      </c>
      <c r="F239" s="2" t="str">
        <f>_xlfn.XLOOKUP(C239,customers!$A$1:$A$1001,customers!$B$1:$B$1001,,0)</f>
        <v>Craggy Bril</v>
      </c>
      <c r="G239" s="2" t="str" cm="1">
        <f t="array" ref="G239">IF(_xlfn.XLOOKUP(C239,customers!A238:$A$1001,customers!C238:$C$1001,,0)=0,"",_xlfn.XLOOKUP(C239,customers!A238:$A$1001,customers!C238:$C$1001,,0))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2">
      <c r="A240" s="2" t="s">
        <v>1833</v>
      </c>
      <c r="B240" s="3">
        <v>44172</v>
      </c>
      <c r="C240" s="2" t="s">
        <v>1834</v>
      </c>
      <c r="D240" t="s">
        <v>6151</v>
      </c>
      <c r="E240" s="2">
        <v>2</v>
      </c>
      <c r="F240" s="2" t="str">
        <f>_xlfn.XLOOKUP(C240,customers!$A$1:$A$1001,customers!$B$1:$B$1001,,0)</f>
        <v>Friederike Drysdale</v>
      </c>
      <c r="G240" s="2" t="str" cm="1">
        <f t="array" ref="G240">IF(_xlfn.XLOOKUP(C240,customers!A239:$A$1001,customers!C239:$C$1001,,0)=0,"",_xlfn.XLOOKUP(C240,customers!A239:$A$1001,customers!C239:$C$1001,,0))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2">
      <c r="A241" s="2" t="s">
        <v>1839</v>
      </c>
      <c r="B241" s="3">
        <v>43881</v>
      </c>
      <c r="C241" s="2" t="s">
        <v>1840</v>
      </c>
      <c r="D241" t="s">
        <v>6171</v>
      </c>
      <c r="E241" s="2">
        <v>4</v>
      </c>
      <c r="F241" s="2" t="str">
        <f>_xlfn.XLOOKUP(C241,customers!$A$1:$A$1001,customers!$B$1:$B$1001,,0)</f>
        <v>Devon Magowan</v>
      </c>
      <c r="G241" s="2" t="str" cm="1">
        <f t="array" ref="G241">IF(_xlfn.XLOOKUP(C241,customers!A240:$A$1001,customers!C240:$C$1001,,0)=0,"",_xlfn.XLOOKUP(C241,customers!A240:$A$1001,customers!C240:$C$1001,,0))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2">
      <c r="A242" s="2" t="s">
        <v>1845</v>
      </c>
      <c r="B242" s="3">
        <v>43993</v>
      </c>
      <c r="C242" s="2" t="s">
        <v>1846</v>
      </c>
      <c r="D242" t="s">
        <v>6175</v>
      </c>
      <c r="E242" s="2">
        <v>6</v>
      </c>
      <c r="F242" s="2" t="str">
        <f>_xlfn.XLOOKUP(C242,customers!$A$1:$A$1001,customers!$B$1:$B$1001,,0)</f>
        <v>Codi Littrell</v>
      </c>
      <c r="G242" s="2" t="str" cm="1">
        <f t="array" ref="G242">IF(_xlfn.XLOOKUP(C242,customers!A241:$A$1001,customers!C241:$C$1001,,0)=0,"",_xlfn.XLOOKUP(C242,customers!A241:$A$1001,customers!C241:$C$1001,,0))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2">
      <c r="A243" s="2" t="s">
        <v>1849</v>
      </c>
      <c r="B243" s="3">
        <v>44082</v>
      </c>
      <c r="C243" s="2" t="s">
        <v>1850</v>
      </c>
      <c r="D243" t="s">
        <v>6151</v>
      </c>
      <c r="E243" s="2">
        <v>2</v>
      </c>
      <c r="F243" s="2" t="str">
        <f>_xlfn.XLOOKUP(C243,customers!$A$1:$A$1001,customers!$B$1:$B$1001,,0)</f>
        <v>Christel Speak</v>
      </c>
      <c r="G243" s="2" t="str" cm="1">
        <f t="array" ref="G243">IF(_xlfn.XLOOKUP(C243,customers!A242:$A$1001,customers!C242:$C$1001,,0)=0,"",_xlfn.XLOOKUP(C243,customers!A242:$A$1001,customers!C242:$C$1001,,0))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2">
      <c r="A244" s="2" t="s">
        <v>1854</v>
      </c>
      <c r="B244" s="3">
        <v>43918</v>
      </c>
      <c r="C244" s="2" t="s">
        <v>1855</v>
      </c>
      <c r="D244" t="s">
        <v>6183</v>
      </c>
      <c r="E244" s="2">
        <v>3</v>
      </c>
      <c r="F244" s="2" t="str">
        <f>_xlfn.XLOOKUP(C244,customers!$A$1:$A$1001,customers!$B$1:$B$1001,,0)</f>
        <v>Sibella Rushbrooke</v>
      </c>
      <c r="G244" s="2" t="str" cm="1">
        <f t="array" ref="G244">IF(_xlfn.XLOOKUP(C244,customers!A243:$A$1001,customers!C243:$C$1001,,0)=0,"",_xlfn.XLOOKUP(C244,customers!A243:$A$1001,customers!C243:$C$1001,,0))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2">
      <c r="A245" s="2" t="s">
        <v>1860</v>
      </c>
      <c r="B245" s="3">
        <v>44114</v>
      </c>
      <c r="C245" s="2" t="s">
        <v>1861</v>
      </c>
      <c r="D245" t="s">
        <v>6144</v>
      </c>
      <c r="E245" s="2">
        <v>4</v>
      </c>
      <c r="F245" s="2" t="str">
        <f>_xlfn.XLOOKUP(C245,customers!$A$1:$A$1001,customers!$B$1:$B$1001,,0)</f>
        <v>Tammie Drynan</v>
      </c>
      <c r="G245" s="2" t="str" cm="1">
        <f t="array" ref="G245">IF(_xlfn.XLOOKUP(C245,customers!A244:$A$1001,customers!C244:$C$1001,,0)=0,"",_xlfn.XLOOKUP(C245,customers!A244:$A$1001,customers!C244:$C$1001,,0))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2">
      <c r="A246" s="2" t="s">
        <v>1866</v>
      </c>
      <c r="B246" s="3">
        <v>44702</v>
      </c>
      <c r="C246" s="2" t="s">
        <v>1867</v>
      </c>
      <c r="D246" t="s">
        <v>6181</v>
      </c>
      <c r="E246" s="2">
        <v>4</v>
      </c>
      <c r="F246" s="2" t="str">
        <f>_xlfn.XLOOKUP(C246,customers!$A$1:$A$1001,customers!$B$1:$B$1001,,0)</f>
        <v>Effie Yurkov</v>
      </c>
      <c r="G246" s="2" t="str" cm="1">
        <f t="array" ref="G246">IF(_xlfn.XLOOKUP(C246,customers!A245:$A$1001,customers!C245:$C$1001,,0)=0,"",_xlfn.XLOOKUP(C246,customers!A245:$A$1001,customers!C245:$C$1001,,0))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2">
      <c r="A247" s="2" t="s">
        <v>1872</v>
      </c>
      <c r="B247" s="3">
        <v>43951</v>
      </c>
      <c r="C247" s="2" t="s">
        <v>1873</v>
      </c>
      <c r="D247" t="s">
        <v>6145</v>
      </c>
      <c r="E247" s="2">
        <v>5</v>
      </c>
      <c r="F247" s="2" t="str">
        <f>_xlfn.XLOOKUP(C247,customers!$A$1:$A$1001,customers!$B$1:$B$1001,,0)</f>
        <v>Lexie Mallan</v>
      </c>
      <c r="G247" s="2" t="str" cm="1">
        <f t="array" ref="G247">IF(_xlfn.XLOOKUP(C247,customers!A246:$A$1001,customers!C246:$C$1001,,0)=0,"",_xlfn.XLOOKUP(C247,customers!A246:$A$1001,customers!C246:$C$1001,,0))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2">
      <c r="A248" s="2" t="s">
        <v>1878</v>
      </c>
      <c r="B248" s="3">
        <v>44542</v>
      </c>
      <c r="C248" s="2" t="s">
        <v>1879</v>
      </c>
      <c r="D248" t="s">
        <v>6143</v>
      </c>
      <c r="E248" s="2">
        <v>3</v>
      </c>
      <c r="F248" s="2" t="str">
        <f>_xlfn.XLOOKUP(C248,customers!$A$1:$A$1001,customers!$B$1:$B$1001,,0)</f>
        <v>Georgena Bentjens</v>
      </c>
      <c r="G248" s="2" t="str" cm="1">
        <f t="array" ref="G248">IF(_xlfn.XLOOKUP(C248,customers!A247:$A$1001,customers!C247:$C$1001,,0)=0,"",_xlfn.XLOOKUP(C248,customers!A247:$A$1001,customers!C247:$C$1001,,0))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2">
      <c r="A249" s="2" t="s">
        <v>1884</v>
      </c>
      <c r="B249" s="3">
        <v>44131</v>
      </c>
      <c r="C249" s="2" t="s">
        <v>1885</v>
      </c>
      <c r="D249" t="s">
        <v>6178</v>
      </c>
      <c r="E249" s="2">
        <v>6</v>
      </c>
      <c r="F249" s="2" t="str">
        <f>_xlfn.XLOOKUP(C249,customers!$A$1:$A$1001,customers!$B$1:$B$1001,,0)</f>
        <v>Delmar Beasant</v>
      </c>
      <c r="G249" s="2" t="str" cm="1">
        <f t="array" ref="G249">IF(_xlfn.XLOOKUP(C249,customers!A248:$A$1001,customers!C248:$C$1001,,0)=0,"",_xlfn.XLOOKUP(C249,customers!A248:$A$1001,customers!C248:$C$1001,,0))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2">
      <c r="A250" s="2" t="s">
        <v>1889</v>
      </c>
      <c r="B250" s="3">
        <v>44019</v>
      </c>
      <c r="C250" s="2" t="s">
        <v>1890</v>
      </c>
      <c r="D250" t="s">
        <v>6147</v>
      </c>
      <c r="E250" s="2">
        <v>1</v>
      </c>
      <c r="F250" s="2" t="str">
        <f>_xlfn.XLOOKUP(C250,customers!$A$1:$A$1001,customers!$B$1:$B$1001,,0)</f>
        <v>Lyn Entwistle</v>
      </c>
      <c r="G250" s="2" t="str" cm="1">
        <f t="array" ref="G250">IF(_xlfn.XLOOKUP(C250,customers!A249:$A$1001,customers!C249:$C$1001,,0)=0,"",_xlfn.XLOOKUP(C250,customers!A249:$A$1001,customers!C249:$C$1001,,0))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2">
      <c r="A251" s="2" t="s">
        <v>1895</v>
      </c>
      <c r="B251" s="3">
        <v>43861</v>
      </c>
      <c r="C251" s="2" t="s">
        <v>1935</v>
      </c>
      <c r="D251" t="s">
        <v>6170</v>
      </c>
      <c r="E251" s="2">
        <v>1</v>
      </c>
      <c r="F251" s="2" t="str">
        <f>_xlfn.XLOOKUP(C251,customers!$A$1:$A$1001,customers!$B$1:$B$1001,,0)</f>
        <v>Zacharias Kiffe</v>
      </c>
      <c r="G251" s="2" t="str" cm="1">
        <f t="array" ref="G251">IF(_xlfn.XLOOKUP(C251,customers!A250:$A$1001,customers!C250:$C$1001,,0)=0,"",_xlfn.XLOOKUP(C251,customers!A250:$A$1001,customers!C250:$C$1001,,0))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2">
      <c r="A252" s="2" t="s">
        <v>1900</v>
      </c>
      <c r="B252" s="3">
        <v>43879</v>
      </c>
      <c r="C252" s="2" t="s">
        <v>1901</v>
      </c>
      <c r="D252" t="s">
        <v>6174</v>
      </c>
      <c r="E252" s="2">
        <v>1</v>
      </c>
      <c r="F252" s="2" t="str">
        <f>_xlfn.XLOOKUP(C252,customers!$A$1:$A$1001,customers!$B$1:$B$1001,,0)</f>
        <v>Mercedes Acott</v>
      </c>
      <c r="G252" s="2" t="str" cm="1">
        <f t="array" ref="G252">IF(_xlfn.XLOOKUP(C252,customers!A251:$A$1001,customers!C251:$C$1001,,0)=0,"",_xlfn.XLOOKUP(C252,customers!A251:$A$1001,customers!C251:$C$1001,,0))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2">
      <c r="A253" s="2" t="s">
        <v>1906</v>
      </c>
      <c r="B253" s="3">
        <v>44360</v>
      </c>
      <c r="C253" s="2" t="s">
        <v>1907</v>
      </c>
      <c r="D253" t="s">
        <v>6141</v>
      </c>
      <c r="E253" s="2">
        <v>5</v>
      </c>
      <c r="F253" s="2" t="str">
        <f>_xlfn.XLOOKUP(C253,customers!$A$1:$A$1001,customers!$B$1:$B$1001,,0)</f>
        <v>Connor Heaviside</v>
      </c>
      <c r="G253" s="2" t="str" cm="1">
        <f t="array" ref="G253">IF(_xlfn.XLOOKUP(C253,customers!A252:$A$1001,customers!C252:$C$1001,,0)=0,"",_xlfn.XLOOKUP(C253,customers!A252:$A$1001,customers!C252:$C$1001,,0))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2">
      <c r="A254" s="2" t="s">
        <v>1912</v>
      </c>
      <c r="B254" s="3">
        <v>44779</v>
      </c>
      <c r="C254" s="2" t="s">
        <v>1913</v>
      </c>
      <c r="D254" t="s">
        <v>6147</v>
      </c>
      <c r="E254" s="2">
        <v>3</v>
      </c>
      <c r="F254" s="2" t="str">
        <f>_xlfn.XLOOKUP(C254,customers!$A$1:$A$1001,customers!$B$1:$B$1001,,0)</f>
        <v>Devy Bulbrook</v>
      </c>
      <c r="G254" s="2" t="str" cm="1">
        <f t="array" ref="G254">IF(_xlfn.XLOOKUP(C254,customers!A253:$A$1001,customers!C253:$C$1001,,0)=0,"",_xlfn.XLOOKUP(C254,customers!A253:$A$1001,customers!C253:$C$1001,,0))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2">
      <c r="A255" s="2" t="s">
        <v>1917</v>
      </c>
      <c r="B255" s="3">
        <v>44523</v>
      </c>
      <c r="C255" s="2" t="s">
        <v>1918</v>
      </c>
      <c r="D255" t="s">
        <v>6162</v>
      </c>
      <c r="E255" s="2">
        <v>4</v>
      </c>
      <c r="F255" s="2" t="str">
        <f>_xlfn.XLOOKUP(C255,customers!$A$1:$A$1001,customers!$B$1:$B$1001,,0)</f>
        <v>Leia Kernan</v>
      </c>
      <c r="G255" s="2" t="str" cm="1">
        <f t="array" ref="G255">IF(_xlfn.XLOOKUP(C255,customers!A254:$A$1001,customers!C254:$C$1001,,0)=0,"",_xlfn.XLOOKUP(C255,customers!A254:$A$1001,customers!C254:$C$1001,,0))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2">
      <c r="A256" s="2" t="s">
        <v>1923</v>
      </c>
      <c r="B256" s="3">
        <v>44482</v>
      </c>
      <c r="C256" s="2" t="s">
        <v>1924</v>
      </c>
      <c r="D256" t="s">
        <v>6173</v>
      </c>
      <c r="E256" s="2">
        <v>4</v>
      </c>
      <c r="F256" s="2" t="str">
        <f>_xlfn.XLOOKUP(C256,customers!$A$1:$A$1001,customers!$B$1:$B$1001,,0)</f>
        <v>Rosaline McLae</v>
      </c>
      <c r="G256" s="2" t="str" cm="1">
        <f t="array" ref="G256">IF(_xlfn.XLOOKUP(C256,customers!A255:$A$1001,customers!C255:$C$1001,,0)=0,"",_xlfn.XLOOKUP(C256,customers!A255:$A$1001,customers!C255:$C$1001,,0))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2">
      <c r="A257" s="2" t="s">
        <v>1928</v>
      </c>
      <c r="B257" s="3">
        <v>44439</v>
      </c>
      <c r="C257" s="2" t="s">
        <v>1929</v>
      </c>
      <c r="D257" t="s">
        <v>6173</v>
      </c>
      <c r="E257" s="2">
        <v>3</v>
      </c>
      <c r="F257" s="2" t="str">
        <f>_xlfn.XLOOKUP(C257,customers!$A$1:$A$1001,customers!$B$1:$B$1001,,0)</f>
        <v>Cleve Blowfelde</v>
      </c>
      <c r="G257" s="2" t="str" cm="1">
        <f t="array" ref="G257">IF(_xlfn.XLOOKUP(C257,customers!A256:$A$1001,customers!C256:$C$1001,,0)=0,"",_xlfn.XLOOKUP(C257,customers!A256:$A$1001,customers!C256:$C$1001,,0))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2">
      <c r="A258" s="2" t="s">
        <v>1934</v>
      </c>
      <c r="B258" s="3">
        <v>43846</v>
      </c>
      <c r="C258" s="2" t="s">
        <v>1935</v>
      </c>
      <c r="D258" t="s">
        <v>6160</v>
      </c>
      <c r="E258" s="2">
        <v>2</v>
      </c>
      <c r="F258" s="2" t="str">
        <f>_xlfn.XLOOKUP(C258,customers!$A$1:$A$1001,customers!$B$1:$B$1001,,0)</f>
        <v>Zacharias Kiffe</v>
      </c>
      <c r="G258" s="2" t="str" cm="1">
        <f t="array" ref="G258">IF(_xlfn.XLOOKUP(C258,customers!A257:$A$1001,customers!C257:$C$1001,,0)=0,"",_xlfn.XLOOKUP(C258,customers!A257:$A$1001,customers!C257:$C$1001,,0))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2">
      <c r="A259" s="2" t="s">
        <v>1940</v>
      </c>
      <c r="B259" s="3">
        <v>44676</v>
      </c>
      <c r="C259" s="2" t="s">
        <v>1941</v>
      </c>
      <c r="D259" t="s">
        <v>6185</v>
      </c>
      <c r="E259" s="2">
        <v>1</v>
      </c>
      <c r="F259" s="2" t="str">
        <f>_xlfn.XLOOKUP(C259,customers!$A$1:$A$1001,customers!$B$1:$B$1001,,0)</f>
        <v>Denyse O'Calleran</v>
      </c>
      <c r="G259" s="2" t="str" cm="1">
        <f t="array" ref="G259">IF(_xlfn.XLOOKUP(C259,customers!A258:$A$1001,customers!C258:$C$1001,,0)=0,"",_xlfn.XLOOKUP(C259,customers!A258:$A$1001,customers!C258:$C$1001,,0))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 "Robusta", IF(I259="Exc", "Excelsa", IF(I259="Ara", "Arabica", IF(I259="Lib", "Liberica", ""))))</f>
        <v>Excelsa</v>
      </c>
      <c r="O259" t="str">
        <f t="shared" ref="O259:O322" si="14">IF(J259="M", "Medium", IF(J259="L", "Light", IF(J259="D", "Dark", "")))</f>
        <v>Dark</v>
      </c>
      <c r="P259" t="str">
        <f>_xlfn.XLOOKUP(Orders[[#This Row],[Customer ID]],customers!$A$1:$A$1001,customers!$I$1:$I$1001,,0)</f>
        <v>Yes</v>
      </c>
    </row>
    <row r="260" spans="1:16" x14ac:dyDescent="0.2">
      <c r="A260" s="2" t="s">
        <v>1946</v>
      </c>
      <c r="B260" s="3">
        <v>44513</v>
      </c>
      <c r="C260" s="2" t="s">
        <v>1947</v>
      </c>
      <c r="D260" t="s">
        <v>6185</v>
      </c>
      <c r="E260" s="2">
        <v>5</v>
      </c>
      <c r="F260" s="2" t="str">
        <f>_xlfn.XLOOKUP(C260,customers!$A$1:$A$1001,customers!$B$1:$B$1001,,0)</f>
        <v>Cobby Cromwell</v>
      </c>
      <c r="G260" s="2" t="str" cm="1">
        <f t="array" ref="G260">IF(_xlfn.XLOOKUP(C260,customers!A259:$A$1001,customers!C259:$C$1001,,0)=0,"",_xlfn.XLOOKUP(C260,customers!A259:$A$1001,customers!C259:$C$1001,,0))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2">
      <c r="A261" s="2" t="s">
        <v>1952</v>
      </c>
      <c r="B261" s="3">
        <v>44355</v>
      </c>
      <c r="C261" s="2" t="s">
        <v>1953</v>
      </c>
      <c r="D261" t="s">
        <v>6174</v>
      </c>
      <c r="E261" s="2">
        <v>2</v>
      </c>
      <c r="F261" s="2" t="str">
        <f>_xlfn.XLOOKUP(C261,customers!$A$1:$A$1001,customers!$B$1:$B$1001,,0)</f>
        <v>Irv Hay</v>
      </c>
      <c r="G261" s="2" t="str" cm="1">
        <f t="array" ref="G261">IF(_xlfn.XLOOKUP(C261,customers!A260:$A$1001,customers!C260:$C$1001,,0)=0,"",_xlfn.XLOOKUP(C261,customers!A260:$A$1001,customers!C260:$C$1001,,0))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2">
      <c r="A262" s="2" t="s">
        <v>1958</v>
      </c>
      <c r="B262" s="3">
        <v>44156</v>
      </c>
      <c r="C262" s="2" t="s">
        <v>1959</v>
      </c>
      <c r="D262" t="s">
        <v>6142</v>
      </c>
      <c r="E262" s="2">
        <v>1</v>
      </c>
      <c r="F262" s="2" t="str">
        <f>_xlfn.XLOOKUP(C262,customers!$A$1:$A$1001,customers!$B$1:$B$1001,,0)</f>
        <v>Tani Taffarello</v>
      </c>
      <c r="G262" s="2" t="str" cm="1">
        <f t="array" ref="G262">IF(_xlfn.XLOOKUP(C262,customers!A261:$A$1001,customers!C261:$C$1001,,0)=0,"",_xlfn.XLOOKUP(C262,customers!A261:$A$1001,customers!C261:$C$1001,,0))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2">
      <c r="A263" s="2" t="s">
        <v>1963</v>
      </c>
      <c r="B263" s="3">
        <v>43538</v>
      </c>
      <c r="C263" s="2" t="s">
        <v>1964</v>
      </c>
      <c r="D263" t="s">
        <v>6179</v>
      </c>
      <c r="E263" s="2">
        <v>5</v>
      </c>
      <c r="F263" s="2" t="str">
        <f>_xlfn.XLOOKUP(C263,customers!$A$1:$A$1001,customers!$B$1:$B$1001,,0)</f>
        <v>Monique Canty</v>
      </c>
      <c r="G263" s="2" t="str" cm="1">
        <f t="array" ref="G263">IF(_xlfn.XLOOKUP(C263,customers!A262:$A$1001,customers!C262:$C$1001,,0)=0,"",_xlfn.XLOOKUP(C263,customers!A262:$A$1001,customers!C262:$C$1001,,0))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2">
      <c r="A264" s="2" t="s">
        <v>1969</v>
      </c>
      <c r="B264" s="3">
        <v>43693</v>
      </c>
      <c r="C264" s="2" t="s">
        <v>1970</v>
      </c>
      <c r="D264" t="s">
        <v>6141</v>
      </c>
      <c r="E264" s="2">
        <v>3</v>
      </c>
      <c r="F264" s="2" t="str">
        <f>_xlfn.XLOOKUP(C264,customers!$A$1:$A$1001,customers!$B$1:$B$1001,,0)</f>
        <v>Javier Kopke</v>
      </c>
      <c r="G264" s="2" t="str" cm="1">
        <f t="array" ref="G264">IF(_xlfn.XLOOKUP(C264,customers!A263:$A$1001,customers!C263:$C$1001,,0)=0,"",_xlfn.XLOOKUP(C264,customers!A263:$A$1001,customers!C263:$C$1001,,0))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2">
      <c r="A265" s="2" t="s">
        <v>1975</v>
      </c>
      <c r="B265" s="3">
        <v>43577</v>
      </c>
      <c r="C265" s="2" t="s">
        <v>1976</v>
      </c>
      <c r="D265" t="s">
        <v>6181</v>
      </c>
      <c r="E265" s="2">
        <v>4</v>
      </c>
      <c r="F265" s="2" t="str">
        <f>_xlfn.XLOOKUP(C265,customers!$A$1:$A$1001,customers!$B$1:$B$1001,,0)</f>
        <v>Mar McIver</v>
      </c>
      <c r="G265" s="2" t="str" cm="1">
        <f t="array" ref="G265">IF(_xlfn.XLOOKUP(C265,customers!A264:$A$1001,customers!C264:$C$1001,,0)=0,"",_xlfn.XLOOKUP(C265,customers!A264:$A$1001,customers!C264:$C$1001,,0))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2">
      <c r="A266" s="2" t="s">
        <v>1980</v>
      </c>
      <c r="B266" s="3">
        <v>44683</v>
      </c>
      <c r="C266" s="2" t="s">
        <v>1981</v>
      </c>
      <c r="D266" t="s">
        <v>6179</v>
      </c>
      <c r="E266" s="2">
        <v>5</v>
      </c>
      <c r="F266" s="2" t="str">
        <f>_xlfn.XLOOKUP(C266,customers!$A$1:$A$1001,customers!$B$1:$B$1001,,0)</f>
        <v>Arabella Fransewich</v>
      </c>
      <c r="G266" s="2" t="str" cm="1">
        <f t="array" ref="G266">IF(_xlfn.XLOOKUP(C266,customers!A265:$A$1001,customers!C265:$C$1001,,0)=0,"",_xlfn.XLOOKUP(C266,customers!A265:$A$1001,customers!C265:$C$1001,,0))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2">
      <c r="A267" s="2" t="s">
        <v>1986</v>
      </c>
      <c r="B267" s="3">
        <v>43872</v>
      </c>
      <c r="C267" s="2" t="s">
        <v>1987</v>
      </c>
      <c r="D267" t="s">
        <v>6158</v>
      </c>
      <c r="E267" s="2">
        <v>1</v>
      </c>
      <c r="F267" s="2" t="str">
        <f>_xlfn.XLOOKUP(C267,customers!$A$1:$A$1001,customers!$B$1:$B$1001,,0)</f>
        <v>Violette Hellmore</v>
      </c>
      <c r="G267" s="2" t="str" cm="1">
        <f t="array" ref="G267">IF(_xlfn.XLOOKUP(C267,customers!A266:$A$1001,customers!C266:$C$1001,,0)=0,"",_xlfn.XLOOKUP(C267,customers!A266:$A$1001,customers!C266:$C$1001,,0))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2">
      <c r="A268" s="2" t="s">
        <v>1992</v>
      </c>
      <c r="B268" s="3">
        <v>44283</v>
      </c>
      <c r="C268" s="2" t="s">
        <v>1993</v>
      </c>
      <c r="D268" t="s">
        <v>6183</v>
      </c>
      <c r="E268" s="2">
        <v>2</v>
      </c>
      <c r="F268" s="2" t="str">
        <f>_xlfn.XLOOKUP(C268,customers!$A$1:$A$1001,customers!$B$1:$B$1001,,0)</f>
        <v>Myles Seawright</v>
      </c>
      <c r="G268" s="2" t="str" cm="1">
        <f t="array" ref="G268">IF(_xlfn.XLOOKUP(C268,customers!A267:$A$1001,customers!C267:$C$1001,,0)=0,"",_xlfn.XLOOKUP(C268,customers!A267:$A$1001,customers!C267:$C$1001,,0))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2">
      <c r="A269" s="2" t="s">
        <v>1998</v>
      </c>
      <c r="B269" s="3">
        <v>44324</v>
      </c>
      <c r="C269" s="2" t="s">
        <v>1999</v>
      </c>
      <c r="D269" t="s">
        <v>6153</v>
      </c>
      <c r="E269" s="2">
        <v>6</v>
      </c>
      <c r="F269" s="2" t="str">
        <f>_xlfn.XLOOKUP(C269,customers!$A$1:$A$1001,customers!$B$1:$B$1001,,0)</f>
        <v>Silvana Northeast</v>
      </c>
      <c r="G269" s="2" t="str" cm="1">
        <f t="array" ref="G269">IF(_xlfn.XLOOKUP(C269,customers!A268:$A$1001,customers!C268:$C$1001,,0)=0,"",_xlfn.XLOOKUP(C269,customers!A268:$A$1001,customers!C268:$C$1001,,0))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2">
      <c r="A270" s="2" t="s">
        <v>2004</v>
      </c>
      <c r="B270" s="3">
        <v>43790</v>
      </c>
      <c r="C270" s="2" t="s">
        <v>1672</v>
      </c>
      <c r="D270" t="s">
        <v>6147</v>
      </c>
      <c r="E270" s="2">
        <v>2</v>
      </c>
      <c r="F270" s="2" t="str">
        <f>_xlfn.XLOOKUP(C270,customers!$A$1:$A$1001,customers!$B$1:$B$1001,,0)</f>
        <v>Anselma Attwater</v>
      </c>
      <c r="G270" s="2" t="e" cm="1">
        <f t="array" ref="G270">IF(_xlfn.XLOOKUP(C270,customers!A269:$A$1001,customers!C269:$C$1001,,0)=0,"",_xlfn.XLOOKUP(C270,customers!A269:$A$1001,customers!C269:$C$1001,,0))</f>
        <v>#N/A</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2">
      <c r="A271" s="2" t="s">
        <v>2009</v>
      </c>
      <c r="B271" s="3">
        <v>44333</v>
      </c>
      <c r="C271" s="2" t="s">
        <v>2010</v>
      </c>
      <c r="D271" t="s">
        <v>6154</v>
      </c>
      <c r="E271" s="2">
        <v>2</v>
      </c>
      <c r="F271" s="2" t="str">
        <f>_xlfn.XLOOKUP(C271,customers!$A$1:$A$1001,customers!$B$1:$B$1001,,0)</f>
        <v>Monica Fearon</v>
      </c>
      <c r="G271" s="2" t="str" cm="1">
        <f t="array" ref="G271">IF(_xlfn.XLOOKUP(C271,customers!A270:$A$1001,customers!C270:$C$1001,,0)=0,"",_xlfn.XLOOKUP(C271,customers!A270:$A$1001,customers!C270:$C$1001,,0))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2">
      <c r="A272" s="2" t="s">
        <v>2015</v>
      </c>
      <c r="B272" s="3">
        <v>43655</v>
      </c>
      <c r="C272" s="2" t="s">
        <v>2016</v>
      </c>
      <c r="D272" t="s">
        <v>6144</v>
      </c>
      <c r="E272" s="2">
        <v>1</v>
      </c>
      <c r="F272" s="2" t="str">
        <f>_xlfn.XLOOKUP(C272,customers!$A$1:$A$1001,customers!$B$1:$B$1001,,0)</f>
        <v>Barney Chisnell</v>
      </c>
      <c r="G272" s="2" t="str" cm="1">
        <f t="array" ref="G272">IF(_xlfn.XLOOKUP(C272,customers!A271:$A$1001,customers!C271:$C$1001,,0)=0,"",_xlfn.XLOOKUP(C272,customers!A271:$A$1001,customers!C271:$C$1001,,0))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2">
      <c r="A273" s="2" t="s">
        <v>2019</v>
      </c>
      <c r="B273" s="3">
        <v>43971</v>
      </c>
      <c r="C273" s="2" t="s">
        <v>2020</v>
      </c>
      <c r="D273" t="s">
        <v>6154</v>
      </c>
      <c r="E273" s="2">
        <v>4</v>
      </c>
      <c r="F273" s="2" t="str">
        <f>_xlfn.XLOOKUP(C273,customers!$A$1:$A$1001,customers!$B$1:$B$1001,,0)</f>
        <v>Jasper Sisneros</v>
      </c>
      <c r="G273" s="2" t="str" cm="1">
        <f t="array" ref="G273">IF(_xlfn.XLOOKUP(C273,customers!A272:$A$1001,customers!C272:$C$1001,,0)=0,"",_xlfn.XLOOKUP(C273,customers!A272:$A$1001,customers!C272:$C$1001,,0))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2">
      <c r="A274" s="2" t="s">
        <v>2025</v>
      </c>
      <c r="B274" s="3">
        <v>44435</v>
      </c>
      <c r="C274" s="2" t="s">
        <v>2026</v>
      </c>
      <c r="D274" t="s">
        <v>6179</v>
      </c>
      <c r="E274" s="2">
        <v>6</v>
      </c>
      <c r="F274" s="2" t="str">
        <f>_xlfn.XLOOKUP(C274,customers!$A$1:$A$1001,customers!$B$1:$B$1001,,0)</f>
        <v>Zachariah Carlson</v>
      </c>
      <c r="G274" s="2" t="str" cm="1">
        <f t="array" ref="G274">IF(_xlfn.XLOOKUP(C274,customers!A273:$A$1001,customers!C273:$C$1001,,0)=0,"",_xlfn.XLOOKUP(C274,customers!A273:$A$1001,customers!C273:$C$1001,,0))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2">
      <c r="A275" s="2" t="s">
        <v>2032</v>
      </c>
      <c r="B275" s="3">
        <v>44681</v>
      </c>
      <c r="C275" s="2" t="s">
        <v>2033</v>
      </c>
      <c r="D275" t="s">
        <v>6167</v>
      </c>
      <c r="E275" s="2">
        <v>2</v>
      </c>
      <c r="F275" s="2" t="str">
        <f>_xlfn.XLOOKUP(C275,customers!$A$1:$A$1001,customers!$B$1:$B$1001,,0)</f>
        <v>Warner Maddox</v>
      </c>
      <c r="G275" s="2" t="str" cm="1">
        <f t="array" ref="G275">IF(_xlfn.XLOOKUP(C275,customers!A274:$A$1001,customers!C274:$C$1001,,0)=0,"",_xlfn.XLOOKUP(C275,customers!A274:$A$1001,customers!C274:$C$1001,,0))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2">
      <c r="A276" s="2" t="s">
        <v>2038</v>
      </c>
      <c r="B276" s="3">
        <v>43985</v>
      </c>
      <c r="C276" s="2" t="s">
        <v>2039</v>
      </c>
      <c r="D276" t="s">
        <v>6175</v>
      </c>
      <c r="E276" s="2">
        <v>1</v>
      </c>
      <c r="F276" s="2" t="str">
        <f>_xlfn.XLOOKUP(C276,customers!$A$1:$A$1001,customers!$B$1:$B$1001,,0)</f>
        <v>Donnie Hedlestone</v>
      </c>
      <c r="G276" s="2" t="str" cm="1">
        <f t="array" ref="G276">IF(_xlfn.XLOOKUP(C276,customers!A275:$A$1001,customers!C275:$C$1001,,0)=0,"",_xlfn.XLOOKUP(C276,customers!A275:$A$1001,customers!C275:$C$1001,,0))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2">
      <c r="A277" s="2" t="s">
        <v>2044</v>
      </c>
      <c r="B277" s="3">
        <v>44725</v>
      </c>
      <c r="C277" s="2" t="s">
        <v>2045</v>
      </c>
      <c r="D277" t="s">
        <v>6148</v>
      </c>
      <c r="E277" s="2">
        <v>6</v>
      </c>
      <c r="F277" s="2" t="str">
        <f>_xlfn.XLOOKUP(C277,customers!$A$1:$A$1001,customers!$B$1:$B$1001,,0)</f>
        <v>Teddi Crowthe</v>
      </c>
      <c r="G277" s="2" t="str" cm="1">
        <f t="array" ref="G277">IF(_xlfn.XLOOKUP(C277,customers!A276:$A$1001,customers!C276:$C$1001,,0)=0,"",_xlfn.XLOOKUP(C277,customers!A276:$A$1001,customers!C276:$C$1001,,0))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2">
      <c r="A278" s="2" t="s">
        <v>2050</v>
      </c>
      <c r="B278" s="3">
        <v>43992</v>
      </c>
      <c r="C278" s="2" t="s">
        <v>2051</v>
      </c>
      <c r="D278" t="s">
        <v>6142</v>
      </c>
      <c r="E278" s="2">
        <v>4</v>
      </c>
      <c r="F278" s="2" t="str">
        <f>_xlfn.XLOOKUP(C278,customers!$A$1:$A$1001,customers!$B$1:$B$1001,,0)</f>
        <v>Dorelia Bury</v>
      </c>
      <c r="G278" s="2" t="str" cm="1">
        <f t="array" ref="G278">IF(_xlfn.XLOOKUP(C278,customers!A277:$A$1001,customers!C277:$C$1001,,0)=0,"",_xlfn.XLOOKUP(C278,customers!A277:$A$1001,customers!C277:$C$1001,,0))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2">
      <c r="A279" s="2" t="s">
        <v>2056</v>
      </c>
      <c r="B279" s="3">
        <v>44183</v>
      </c>
      <c r="C279" s="2" t="s">
        <v>2057</v>
      </c>
      <c r="D279" t="s">
        <v>6171</v>
      </c>
      <c r="E279" s="2">
        <v>6</v>
      </c>
      <c r="F279" s="2" t="str">
        <f>_xlfn.XLOOKUP(C279,customers!$A$1:$A$1001,customers!$B$1:$B$1001,,0)</f>
        <v>Gussy Broadbear</v>
      </c>
      <c r="G279" s="2" t="str" cm="1">
        <f t="array" ref="G279">IF(_xlfn.XLOOKUP(C279,customers!A278:$A$1001,customers!C278:$C$1001,,0)=0,"",_xlfn.XLOOKUP(C279,customers!A278:$A$1001,customers!C278:$C$1001,,0))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2">
      <c r="A280" s="2" t="s">
        <v>2062</v>
      </c>
      <c r="B280" s="3">
        <v>43708</v>
      </c>
      <c r="C280" s="2" t="s">
        <v>2063</v>
      </c>
      <c r="D280" t="s">
        <v>6167</v>
      </c>
      <c r="E280" s="2">
        <v>2</v>
      </c>
      <c r="F280" s="2" t="str">
        <f>_xlfn.XLOOKUP(C280,customers!$A$1:$A$1001,customers!$B$1:$B$1001,,0)</f>
        <v>Emlynne Palfrey</v>
      </c>
      <c r="G280" s="2" t="str" cm="1">
        <f t="array" ref="G280">IF(_xlfn.XLOOKUP(C280,customers!A279:$A$1001,customers!C279:$C$1001,,0)=0,"",_xlfn.XLOOKUP(C280,customers!A279:$A$1001,customers!C279:$C$1001,,0))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2">
      <c r="A281" s="2" t="s">
        <v>2068</v>
      </c>
      <c r="B281" s="3">
        <v>43521</v>
      </c>
      <c r="C281" s="2" t="s">
        <v>2069</v>
      </c>
      <c r="D281" t="s">
        <v>6181</v>
      </c>
      <c r="E281" s="2">
        <v>1</v>
      </c>
      <c r="F281" s="2" t="str">
        <f>_xlfn.XLOOKUP(C281,customers!$A$1:$A$1001,customers!$B$1:$B$1001,,0)</f>
        <v>Parsifal Metrick</v>
      </c>
      <c r="G281" s="2" t="str" cm="1">
        <f t="array" ref="G281">IF(_xlfn.XLOOKUP(C281,customers!A280:$A$1001,customers!C280:$C$1001,,0)=0,"",_xlfn.XLOOKUP(C281,customers!A280:$A$1001,customers!C280:$C$1001,,0))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2">
      <c r="A282" s="2" t="s">
        <v>2074</v>
      </c>
      <c r="B282" s="3">
        <v>44234</v>
      </c>
      <c r="C282" s="2" t="s">
        <v>2075</v>
      </c>
      <c r="D282" t="s">
        <v>6139</v>
      </c>
      <c r="E282" s="2">
        <v>5</v>
      </c>
      <c r="F282" s="2" t="str">
        <f>_xlfn.XLOOKUP(C282,customers!$A$1:$A$1001,customers!$B$1:$B$1001,,0)</f>
        <v>Christopher Grieveson</v>
      </c>
      <c r="G282" s="2" t="str" cm="1">
        <f t="array" ref="G282">IF(_xlfn.XLOOKUP(C282,customers!A281:$A$1001,customers!C281:$C$1001,,0)=0,"",_xlfn.XLOOKUP(C282,customers!A281:$A$1001,customers!C281:$C$1001,,0))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2">
      <c r="A283" s="2" t="s">
        <v>2079</v>
      </c>
      <c r="B283" s="3">
        <v>44210</v>
      </c>
      <c r="C283" s="2" t="s">
        <v>2080</v>
      </c>
      <c r="D283" t="s">
        <v>6171</v>
      </c>
      <c r="E283" s="2">
        <v>4</v>
      </c>
      <c r="F283" s="2" t="str">
        <f>_xlfn.XLOOKUP(C283,customers!$A$1:$A$1001,customers!$B$1:$B$1001,,0)</f>
        <v>Karlan Karby</v>
      </c>
      <c r="G283" s="2" t="str" cm="1">
        <f t="array" ref="G283">IF(_xlfn.XLOOKUP(C283,customers!A282:$A$1001,customers!C282:$C$1001,,0)=0,"",_xlfn.XLOOKUP(C283,customers!A282:$A$1001,customers!C282:$C$1001,,0))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2">
      <c r="A284" s="2" t="s">
        <v>2085</v>
      </c>
      <c r="B284" s="3">
        <v>43520</v>
      </c>
      <c r="C284" s="2" t="s">
        <v>2086</v>
      </c>
      <c r="D284" t="s">
        <v>6180</v>
      </c>
      <c r="E284" s="2">
        <v>1</v>
      </c>
      <c r="F284" s="2" t="str">
        <f>_xlfn.XLOOKUP(C284,customers!$A$1:$A$1001,customers!$B$1:$B$1001,,0)</f>
        <v>Flory Crumpe</v>
      </c>
      <c r="G284" s="2" t="str" cm="1">
        <f t="array" ref="G284">IF(_xlfn.XLOOKUP(C284,customers!A283:$A$1001,customers!C283:$C$1001,,0)=0,"",_xlfn.XLOOKUP(C284,customers!A283:$A$1001,customers!C283:$C$1001,,0))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2">
      <c r="A285" s="2" t="s">
        <v>2091</v>
      </c>
      <c r="B285" s="3">
        <v>43639</v>
      </c>
      <c r="C285" s="2" t="s">
        <v>2092</v>
      </c>
      <c r="D285" t="s">
        <v>6172</v>
      </c>
      <c r="E285" s="2">
        <v>1</v>
      </c>
      <c r="F285" s="2" t="str">
        <f>_xlfn.XLOOKUP(C285,customers!$A$1:$A$1001,customers!$B$1:$B$1001,,0)</f>
        <v>Amity Chatto</v>
      </c>
      <c r="G285" s="2" t="str" cm="1">
        <f t="array" ref="G285">IF(_xlfn.XLOOKUP(C285,customers!A284:$A$1001,customers!C284:$C$1001,,0)=0,"",_xlfn.XLOOKUP(C285,customers!A284:$A$1001,customers!C284:$C$1001,,0))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2">
      <c r="A286" s="2" t="s">
        <v>2097</v>
      </c>
      <c r="B286" s="3">
        <v>43960</v>
      </c>
      <c r="C286" s="2" t="s">
        <v>2098</v>
      </c>
      <c r="D286" t="s">
        <v>6166</v>
      </c>
      <c r="E286" s="2">
        <v>3</v>
      </c>
      <c r="F286" s="2" t="str">
        <f>_xlfn.XLOOKUP(C286,customers!$A$1:$A$1001,customers!$B$1:$B$1001,,0)</f>
        <v>Nanine McCarthy</v>
      </c>
      <c r="G286" s="2" t="str" cm="1">
        <f t="array" ref="G286">IF(_xlfn.XLOOKUP(C286,customers!A285:$A$1001,customers!C285:$C$1001,,0)=0,"",_xlfn.XLOOKUP(C286,customers!A285:$A$1001,customers!C285:$C$1001,,0))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2">
      <c r="A287" s="2" t="s">
        <v>2102</v>
      </c>
      <c r="B287" s="3">
        <v>44030</v>
      </c>
      <c r="C287" s="2" t="s">
        <v>2103</v>
      </c>
      <c r="D287" t="s">
        <v>6164</v>
      </c>
      <c r="E287" s="2">
        <v>1</v>
      </c>
      <c r="F287" s="2" t="str">
        <f>_xlfn.XLOOKUP(C287,customers!$A$1:$A$1001,customers!$B$1:$B$1001,,0)</f>
        <v>Lyndsey Megany</v>
      </c>
      <c r="G287" s="2" t="str" cm="1">
        <f t="array" ref="G287">IF(_xlfn.XLOOKUP(C287,customers!A286:$A$1001,customers!C286:$C$1001,,0)=0,"",_xlfn.XLOOKUP(C287,customers!A286:$A$1001,customers!C286:$C$1001,,0))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2">
      <c r="A288" s="2" t="s">
        <v>2107</v>
      </c>
      <c r="B288" s="3">
        <v>43755</v>
      </c>
      <c r="C288" s="2" t="s">
        <v>2108</v>
      </c>
      <c r="D288" t="s">
        <v>6152</v>
      </c>
      <c r="E288" s="2">
        <v>4</v>
      </c>
      <c r="F288" s="2" t="str">
        <f>_xlfn.XLOOKUP(C288,customers!$A$1:$A$1001,customers!$B$1:$B$1001,,0)</f>
        <v>Byram Mergue</v>
      </c>
      <c r="G288" s="2" t="str" cm="1">
        <f t="array" ref="G288">IF(_xlfn.XLOOKUP(C288,customers!A287:$A$1001,customers!C287:$C$1001,,0)=0,"",_xlfn.XLOOKUP(C288,customers!A287:$A$1001,customers!C287:$C$1001,,0))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2">
      <c r="A289" s="2" t="s">
        <v>2112</v>
      </c>
      <c r="B289" s="3">
        <v>44697</v>
      </c>
      <c r="C289" s="2" t="s">
        <v>2113</v>
      </c>
      <c r="D289" t="s">
        <v>6178</v>
      </c>
      <c r="E289" s="2">
        <v>4</v>
      </c>
      <c r="F289" s="2" t="str">
        <f>_xlfn.XLOOKUP(C289,customers!$A$1:$A$1001,customers!$B$1:$B$1001,,0)</f>
        <v>Kerr Patise</v>
      </c>
      <c r="G289" s="2" t="str" cm="1">
        <f t="array" ref="G289">IF(_xlfn.XLOOKUP(C289,customers!A288:$A$1001,customers!C288:$C$1001,,0)=0,"",_xlfn.XLOOKUP(C289,customers!A288:$A$1001,customers!C288:$C$1001,,0))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2">
      <c r="A290" s="2" t="s">
        <v>2118</v>
      </c>
      <c r="B290" s="3">
        <v>44279</v>
      </c>
      <c r="C290" s="2" t="s">
        <v>2119</v>
      </c>
      <c r="D290" t="s">
        <v>6139</v>
      </c>
      <c r="E290" s="2">
        <v>1</v>
      </c>
      <c r="F290" s="2" t="str">
        <f>_xlfn.XLOOKUP(C290,customers!$A$1:$A$1001,customers!$B$1:$B$1001,,0)</f>
        <v>Mathew Goulter</v>
      </c>
      <c r="G290" s="2" t="str" cm="1">
        <f t="array" ref="G290">IF(_xlfn.XLOOKUP(C290,customers!A289:$A$1001,customers!C289:$C$1001,,0)=0,"",_xlfn.XLOOKUP(C290,customers!A289:$A$1001,customers!C289:$C$1001,,0))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2">
      <c r="A291" s="2" t="s">
        <v>2123</v>
      </c>
      <c r="B291" s="3">
        <v>43772</v>
      </c>
      <c r="C291" s="2" t="s">
        <v>2124</v>
      </c>
      <c r="D291" t="s">
        <v>6163</v>
      </c>
      <c r="E291" s="2">
        <v>5</v>
      </c>
      <c r="F291" s="2" t="str">
        <f>_xlfn.XLOOKUP(C291,customers!$A$1:$A$1001,customers!$B$1:$B$1001,,0)</f>
        <v>Marris Grcic</v>
      </c>
      <c r="G291" s="2" t="str" cm="1">
        <f t="array" ref="G291">IF(_xlfn.XLOOKUP(C291,customers!A290:$A$1001,customers!C290:$C$1001,,0)=0,"",_xlfn.XLOOKUP(C291,customers!A290:$A$1001,customers!C290:$C$1001,,0))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2">
      <c r="A292" s="2" t="s">
        <v>2127</v>
      </c>
      <c r="B292" s="3">
        <v>44497</v>
      </c>
      <c r="C292" s="2" t="s">
        <v>2128</v>
      </c>
      <c r="D292" t="s">
        <v>6147</v>
      </c>
      <c r="E292" s="2">
        <v>5</v>
      </c>
      <c r="F292" s="2" t="str">
        <f>_xlfn.XLOOKUP(C292,customers!$A$1:$A$1001,customers!$B$1:$B$1001,,0)</f>
        <v>Domeniga Duke</v>
      </c>
      <c r="G292" s="2" t="str" cm="1">
        <f t="array" ref="G292">IF(_xlfn.XLOOKUP(C292,customers!A291:$A$1001,customers!C291:$C$1001,,0)=0,"",_xlfn.XLOOKUP(C292,customers!A291:$A$1001,customers!C291:$C$1001,,0))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2">
      <c r="A293" s="2" t="s">
        <v>2133</v>
      </c>
      <c r="B293" s="3">
        <v>44181</v>
      </c>
      <c r="C293" s="2" t="s">
        <v>2134</v>
      </c>
      <c r="D293" t="s">
        <v>6139</v>
      </c>
      <c r="E293" s="2">
        <v>2</v>
      </c>
      <c r="F293" s="2" t="str">
        <f>_xlfn.XLOOKUP(C293,customers!$A$1:$A$1001,customers!$B$1:$B$1001,,0)</f>
        <v>Violante Skouling</v>
      </c>
      <c r="G293" s="2" t="str" cm="1">
        <f t="array" ref="G293">IF(_xlfn.XLOOKUP(C293,customers!A292:$A$1001,customers!C292:$C$1001,,0)=0,"",_xlfn.XLOOKUP(C293,customers!A292:$A$1001,customers!C292:$C$1001,,0))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2">
      <c r="A294" s="2" t="s">
        <v>2137</v>
      </c>
      <c r="B294" s="3">
        <v>44529</v>
      </c>
      <c r="C294" s="2" t="s">
        <v>2138</v>
      </c>
      <c r="D294" t="s">
        <v>6158</v>
      </c>
      <c r="E294" s="2">
        <v>3</v>
      </c>
      <c r="F294" s="2" t="str">
        <f>_xlfn.XLOOKUP(C294,customers!$A$1:$A$1001,customers!$B$1:$B$1001,,0)</f>
        <v>Isidore Hussey</v>
      </c>
      <c r="G294" s="2" t="str" cm="1">
        <f t="array" ref="G294">IF(_xlfn.XLOOKUP(C294,customers!A293:$A$1001,customers!C293:$C$1001,,0)=0,"",_xlfn.XLOOKUP(C294,customers!A293:$A$1001,customers!C293:$C$1001,,0))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2">
      <c r="A295" s="2" t="s">
        <v>2142</v>
      </c>
      <c r="B295" s="3">
        <v>44275</v>
      </c>
      <c r="C295" s="2" t="s">
        <v>2143</v>
      </c>
      <c r="D295" t="s">
        <v>6158</v>
      </c>
      <c r="E295" s="2">
        <v>5</v>
      </c>
      <c r="F295" s="2" t="str">
        <f>_xlfn.XLOOKUP(C295,customers!$A$1:$A$1001,customers!$B$1:$B$1001,,0)</f>
        <v>Cassie Pinkerton</v>
      </c>
      <c r="G295" s="2" t="str" cm="1">
        <f t="array" ref="G295">IF(_xlfn.XLOOKUP(C295,customers!A294:$A$1001,customers!C294:$C$1001,,0)=0,"",_xlfn.XLOOKUP(C295,customers!A294:$A$1001,customers!C294:$C$1001,,0))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2">
      <c r="A296" s="2" t="s">
        <v>2148</v>
      </c>
      <c r="B296" s="3">
        <v>44659</v>
      </c>
      <c r="C296" s="2" t="s">
        <v>2149</v>
      </c>
      <c r="D296" t="s">
        <v>6171</v>
      </c>
      <c r="E296" s="2">
        <v>3</v>
      </c>
      <c r="F296" s="2" t="str">
        <f>_xlfn.XLOOKUP(C296,customers!$A$1:$A$1001,customers!$B$1:$B$1001,,0)</f>
        <v>Micki Fero</v>
      </c>
      <c r="G296" s="2" t="str" cm="1">
        <f t="array" ref="G296">IF(_xlfn.XLOOKUP(C296,customers!A295:$A$1001,customers!C295:$C$1001,,0)=0,"",_xlfn.XLOOKUP(C296,customers!A295:$A$1001,customers!C295:$C$1001,,0))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2">
      <c r="A297" s="2" t="s">
        <v>2153</v>
      </c>
      <c r="B297" s="3">
        <v>44057</v>
      </c>
      <c r="C297" s="2" t="s">
        <v>2154</v>
      </c>
      <c r="D297" t="s">
        <v>6141</v>
      </c>
      <c r="E297" s="2">
        <v>2</v>
      </c>
      <c r="F297" s="2" t="str">
        <f>_xlfn.XLOOKUP(C297,customers!$A$1:$A$1001,customers!$B$1:$B$1001,,0)</f>
        <v>Cybill Graddell</v>
      </c>
      <c r="G297" s="2" t="str" cm="1">
        <f t="array" ref="G297">IF(_xlfn.XLOOKUP(C297,customers!A296:$A$1001,customers!C296:$C$1001,,0)=0,"",_xlfn.XLOOKUP(C297,customers!A296:$A$1001,customers!C296:$C$1001,,0))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2">
      <c r="A298" s="2" t="s">
        <v>2157</v>
      </c>
      <c r="B298" s="3">
        <v>43597</v>
      </c>
      <c r="C298" s="2" t="s">
        <v>2158</v>
      </c>
      <c r="D298" t="s">
        <v>6146</v>
      </c>
      <c r="E298" s="2">
        <v>6</v>
      </c>
      <c r="F298" s="2" t="str">
        <f>_xlfn.XLOOKUP(C298,customers!$A$1:$A$1001,customers!$B$1:$B$1001,,0)</f>
        <v>Dorian Vizor</v>
      </c>
      <c r="G298" s="2" t="str" cm="1">
        <f t="array" ref="G298">IF(_xlfn.XLOOKUP(C298,customers!A297:$A$1001,customers!C297:$C$1001,,0)=0,"",_xlfn.XLOOKUP(C298,customers!A297:$A$1001,customers!C297:$C$1001,,0))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2">
      <c r="A299" s="2" t="s">
        <v>2163</v>
      </c>
      <c r="B299" s="3">
        <v>44258</v>
      </c>
      <c r="C299" s="2" t="s">
        <v>2164</v>
      </c>
      <c r="D299" t="s">
        <v>6172</v>
      </c>
      <c r="E299" s="2">
        <v>3</v>
      </c>
      <c r="F299" s="2" t="str">
        <f>_xlfn.XLOOKUP(C299,customers!$A$1:$A$1001,customers!$B$1:$B$1001,,0)</f>
        <v>Eddi Sedgebeer</v>
      </c>
      <c r="G299" s="2" t="str" cm="1">
        <f t="array" ref="G299">IF(_xlfn.XLOOKUP(C299,customers!A298:$A$1001,customers!C298:$C$1001,,0)=0,"",_xlfn.XLOOKUP(C299,customers!A298:$A$1001,customers!C298:$C$1001,,0))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2">
      <c r="A300" s="2" t="s">
        <v>2169</v>
      </c>
      <c r="B300" s="3">
        <v>43872</v>
      </c>
      <c r="C300" s="2" t="s">
        <v>2170</v>
      </c>
      <c r="D300" t="s">
        <v>6184</v>
      </c>
      <c r="E300" s="2">
        <v>6</v>
      </c>
      <c r="F300" s="2" t="str">
        <f>_xlfn.XLOOKUP(C300,customers!$A$1:$A$1001,customers!$B$1:$B$1001,,0)</f>
        <v>Ken Lestrange</v>
      </c>
      <c r="G300" s="2" t="str" cm="1">
        <f t="array" ref="G300">IF(_xlfn.XLOOKUP(C300,customers!A299:$A$1001,customers!C299:$C$1001,,0)=0,"",_xlfn.XLOOKUP(C300,customers!A299:$A$1001,customers!C299:$C$1001,,0))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2">
      <c r="A301" s="2" t="s">
        <v>2175</v>
      </c>
      <c r="B301" s="3">
        <v>43582</v>
      </c>
      <c r="C301" s="2" t="s">
        <v>2176</v>
      </c>
      <c r="D301" t="s">
        <v>6148</v>
      </c>
      <c r="E301" s="2">
        <v>6</v>
      </c>
      <c r="F301" s="2" t="str">
        <f>_xlfn.XLOOKUP(C301,customers!$A$1:$A$1001,customers!$B$1:$B$1001,,0)</f>
        <v>Lacee Tanti</v>
      </c>
      <c r="G301" s="2" t="str" cm="1">
        <f t="array" ref="G301">IF(_xlfn.XLOOKUP(C301,customers!A300:$A$1001,customers!C300:$C$1001,,0)=0,"",_xlfn.XLOOKUP(C301,customers!A300:$A$1001,customers!C300:$C$1001,,0))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2">
      <c r="A302" s="2" t="s">
        <v>2181</v>
      </c>
      <c r="B302" s="3">
        <v>44646</v>
      </c>
      <c r="C302" s="2" t="s">
        <v>2182</v>
      </c>
      <c r="D302" t="s">
        <v>6140</v>
      </c>
      <c r="E302" s="2">
        <v>3</v>
      </c>
      <c r="F302" s="2" t="str">
        <f>_xlfn.XLOOKUP(C302,customers!$A$1:$A$1001,customers!$B$1:$B$1001,,0)</f>
        <v>Arel De Lasci</v>
      </c>
      <c r="G302" s="2" t="str" cm="1">
        <f t="array" ref="G302">IF(_xlfn.XLOOKUP(C302,customers!A301:$A$1001,customers!C301:$C$1001,,0)=0,"",_xlfn.XLOOKUP(C302,customers!A301:$A$1001,customers!C301:$C$1001,,0))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2">
      <c r="A303" s="2" t="s">
        <v>2187</v>
      </c>
      <c r="B303" s="3">
        <v>44102</v>
      </c>
      <c r="C303" s="2" t="s">
        <v>2188</v>
      </c>
      <c r="D303" t="s">
        <v>6150</v>
      </c>
      <c r="E303" s="2">
        <v>4</v>
      </c>
      <c r="F303" s="2" t="str">
        <f>_xlfn.XLOOKUP(C303,customers!$A$1:$A$1001,customers!$B$1:$B$1001,,0)</f>
        <v>Trescha Jedrachowicz</v>
      </c>
      <c r="G303" s="2" t="str" cm="1">
        <f t="array" ref="G303">IF(_xlfn.XLOOKUP(C303,customers!A302:$A$1001,customers!C302:$C$1001,,0)=0,"",_xlfn.XLOOKUP(C303,customers!A302:$A$1001,customers!C302:$C$1001,,0))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2">
      <c r="A304" s="2" t="s">
        <v>2193</v>
      </c>
      <c r="B304" s="3">
        <v>43762</v>
      </c>
      <c r="C304" s="2" t="s">
        <v>2194</v>
      </c>
      <c r="D304" t="s">
        <v>6157</v>
      </c>
      <c r="E304" s="2">
        <v>1</v>
      </c>
      <c r="F304" s="2" t="str">
        <f>_xlfn.XLOOKUP(C304,customers!$A$1:$A$1001,customers!$B$1:$B$1001,,0)</f>
        <v>Perkin Stonner</v>
      </c>
      <c r="G304" s="2" t="str" cm="1">
        <f t="array" ref="G304">IF(_xlfn.XLOOKUP(C304,customers!A303:$A$1001,customers!C303:$C$1001,,0)=0,"",_xlfn.XLOOKUP(C304,customers!A303:$A$1001,customers!C303:$C$1001,,0))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2">
      <c r="A305" s="2" t="s">
        <v>2199</v>
      </c>
      <c r="B305" s="3">
        <v>44412</v>
      </c>
      <c r="C305" s="2" t="s">
        <v>2200</v>
      </c>
      <c r="D305" t="s">
        <v>6185</v>
      </c>
      <c r="E305" s="2">
        <v>4</v>
      </c>
      <c r="F305" s="2" t="str">
        <f>_xlfn.XLOOKUP(C305,customers!$A$1:$A$1001,customers!$B$1:$B$1001,,0)</f>
        <v>Darrin Tingly</v>
      </c>
      <c r="G305" s="2" t="str" cm="1">
        <f t="array" ref="G305">IF(_xlfn.XLOOKUP(C305,customers!A304:$A$1001,customers!C304:$C$1001,,0)=0,"",_xlfn.XLOOKUP(C305,customers!A304:$A$1001,customers!C304:$C$1001,,0))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2">
      <c r="A306" s="2" t="s">
        <v>2204</v>
      </c>
      <c r="B306" s="3">
        <v>43828</v>
      </c>
      <c r="C306" s="2" t="s">
        <v>2245</v>
      </c>
      <c r="D306" t="s">
        <v>6167</v>
      </c>
      <c r="E306" s="2">
        <v>1</v>
      </c>
      <c r="F306" s="2" t="str">
        <f>_xlfn.XLOOKUP(C306,customers!$A$1:$A$1001,customers!$B$1:$B$1001,,0)</f>
        <v>Claudetta Rushe</v>
      </c>
      <c r="G306" s="2" t="str" cm="1">
        <f t="array" ref="G306">IF(_xlfn.XLOOKUP(C306,customers!A305:$A$1001,customers!C305:$C$1001,,0)=0,"",_xlfn.XLOOKUP(C306,customers!A305:$A$1001,customers!C305:$C$1001,,0))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2">
      <c r="A307" s="2" t="s">
        <v>2209</v>
      </c>
      <c r="B307" s="3">
        <v>43796</v>
      </c>
      <c r="C307" s="2" t="s">
        <v>2210</v>
      </c>
      <c r="D307" t="s">
        <v>6159</v>
      </c>
      <c r="E307" s="2">
        <v>5</v>
      </c>
      <c r="F307" s="2" t="str">
        <f>_xlfn.XLOOKUP(C307,customers!$A$1:$A$1001,customers!$B$1:$B$1001,,0)</f>
        <v>Benn Checci</v>
      </c>
      <c r="G307" s="2" t="str" cm="1">
        <f t="array" ref="G307">IF(_xlfn.XLOOKUP(C307,customers!A306:$A$1001,customers!C306:$C$1001,,0)=0,"",_xlfn.XLOOKUP(C307,customers!A306:$A$1001,customers!C306:$C$1001,,0))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2">
      <c r="A308" s="2" t="s">
        <v>2215</v>
      </c>
      <c r="B308" s="3">
        <v>43890</v>
      </c>
      <c r="C308" s="2" t="s">
        <v>2216</v>
      </c>
      <c r="D308" t="s">
        <v>6174</v>
      </c>
      <c r="E308" s="2">
        <v>5</v>
      </c>
      <c r="F308" s="2" t="str">
        <f>_xlfn.XLOOKUP(C308,customers!$A$1:$A$1001,customers!$B$1:$B$1001,,0)</f>
        <v>Janifer Bagot</v>
      </c>
      <c r="G308" s="2" t="str" cm="1">
        <f t="array" ref="G308">IF(_xlfn.XLOOKUP(C308,customers!A307:$A$1001,customers!C307:$C$1001,,0)=0,"",_xlfn.XLOOKUP(C308,customers!A307:$A$1001,customers!C307:$C$1001,,0))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2">
      <c r="A309" s="2" t="s">
        <v>2221</v>
      </c>
      <c r="B309" s="3">
        <v>44227</v>
      </c>
      <c r="C309" s="2" t="s">
        <v>2222</v>
      </c>
      <c r="D309" t="s">
        <v>6155</v>
      </c>
      <c r="E309" s="2">
        <v>3</v>
      </c>
      <c r="F309" s="2" t="str">
        <f>_xlfn.XLOOKUP(C309,customers!$A$1:$A$1001,customers!$B$1:$B$1001,,0)</f>
        <v>Ermin Beeble</v>
      </c>
      <c r="G309" s="2" t="str" cm="1">
        <f t="array" ref="G309">IF(_xlfn.XLOOKUP(C309,customers!A308:$A$1001,customers!C308:$C$1001,,0)=0,"",_xlfn.XLOOKUP(C309,customers!A308:$A$1001,customers!C308:$C$1001,,0))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2">
      <c r="A310" s="2" t="s">
        <v>2227</v>
      </c>
      <c r="B310" s="3">
        <v>44729</v>
      </c>
      <c r="C310" s="2" t="s">
        <v>2228</v>
      </c>
      <c r="D310" t="s">
        <v>6155</v>
      </c>
      <c r="E310" s="2">
        <v>3</v>
      </c>
      <c r="F310" s="2" t="str">
        <f>_xlfn.XLOOKUP(C310,customers!$A$1:$A$1001,customers!$B$1:$B$1001,,0)</f>
        <v>Cos Fluin</v>
      </c>
      <c r="G310" s="2" t="str" cm="1">
        <f t="array" ref="G310">IF(_xlfn.XLOOKUP(C310,customers!A309:$A$1001,customers!C309:$C$1001,,0)=0,"",_xlfn.XLOOKUP(C310,customers!A309:$A$1001,customers!C309:$C$1001,,0))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2">
      <c r="A311" s="2" t="s">
        <v>2232</v>
      </c>
      <c r="B311" s="3">
        <v>43864</v>
      </c>
      <c r="C311" s="2" t="s">
        <v>2233</v>
      </c>
      <c r="D311" t="s">
        <v>6159</v>
      </c>
      <c r="E311" s="2">
        <v>6</v>
      </c>
      <c r="F311" s="2" t="str">
        <f>_xlfn.XLOOKUP(C311,customers!$A$1:$A$1001,customers!$B$1:$B$1001,,0)</f>
        <v>Eveleen Bletsor</v>
      </c>
      <c r="G311" s="2" t="str" cm="1">
        <f t="array" ref="G311">IF(_xlfn.XLOOKUP(C311,customers!A310:$A$1001,customers!C310:$C$1001,,0)=0,"",_xlfn.XLOOKUP(C311,customers!A310:$A$1001,customers!C310:$C$1001,,0))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2">
      <c r="A312" s="2" t="s">
        <v>2238</v>
      </c>
      <c r="B312" s="3">
        <v>44586</v>
      </c>
      <c r="C312" s="2" t="s">
        <v>2239</v>
      </c>
      <c r="D312" t="s">
        <v>6171</v>
      </c>
      <c r="E312" s="2">
        <v>1</v>
      </c>
      <c r="F312" s="2" t="str">
        <f>_xlfn.XLOOKUP(C312,customers!$A$1:$A$1001,customers!$B$1:$B$1001,,0)</f>
        <v>Paola Brydell</v>
      </c>
      <c r="G312" s="2" t="str" cm="1">
        <f t="array" ref="G312">IF(_xlfn.XLOOKUP(C312,customers!A311:$A$1001,customers!C311:$C$1001,,0)=0,"",_xlfn.XLOOKUP(C312,customers!A311:$A$1001,customers!C311:$C$1001,,0))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2">
      <c r="A313" s="2" t="s">
        <v>2244</v>
      </c>
      <c r="B313" s="3">
        <v>43951</v>
      </c>
      <c r="C313" s="2" t="s">
        <v>2245</v>
      </c>
      <c r="D313" t="s">
        <v>6166</v>
      </c>
      <c r="E313" s="2">
        <v>6</v>
      </c>
      <c r="F313" s="2" t="str">
        <f>_xlfn.XLOOKUP(C313,customers!$A$1:$A$1001,customers!$B$1:$B$1001,,0)</f>
        <v>Claudetta Rushe</v>
      </c>
      <c r="G313" s="2" t="str" cm="1">
        <f t="array" ref="G313">IF(_xlfn.XLOOKUP(C313,customers!A312:$A$1001,customers!C312:$C$1001,,0)=0,"",_xlfn.XLOOKUP(C313,customers!A312:$A$1001,customers!C312:$C$1001,,0))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2">
      <c r="A314" s="2" t="s">
        <v>2250</v>
      </c>
      <c r="B314" s="3">
        <v>44317</v>
      </c>
      <c r="C314" s="2" t="s">
        <v>2251</v>
      </c>
      <c r="D314" t="s">
        <v>6146</v>
      </c>
      <c r="E314" s="2">
        <v>1</v>
      </c>
      <c r="F314" s="2" t="str">
        <f>_xlfn.XLOOKUP(C314,customers!$A$1:$A$1001,customers!$B$1:$B$1001,,0)</f>
        <v>Natka Leethem</v>
      </c>
      <c r="G314" s="2" t="str" cm="1">
        <f t="array" ref="G314">IF(_xlfn.XLOOKUP(C314,customers!A313:$A$1001,customers!C313:$C$1001,,0)=0,"",_xlfn.XLOOKUP(C314,customers!A313:$A$1001,customers!C313:$C$1001,,0))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2">
      <c r="A315" s="2" t="s">
        <v>2256</v>
      </c>
      <c r="B315" s="3">
        <v>44497</v>
      </c>
      <c r="C315" s="2" t="s">
        <v>2257</v>
      </c>
      <c r="D315" t="s">
        <v>6138</v>
      </c>
      <c r="E315" s="2">
        <v>3</v>
      </c>
      <c r="F315" s="2" t="str">
        <f>_xlfn.XLOOKUP(C315,customers!$A$1:$A$1001,customers!$B$1:$B$1001,,0)</f>
        <v>Ailene Nesfield</v>
      </c>
      <c r="G315" s="2" t="str" cm="1">
        <f t="array" ref="G315">IF(_xlfn.XLOOKUP(C315,customers!A314:$A$1001,customers!C314:$C$1001,,0)=0,"",_xlfn.XLOOKUP(C315,customers!A314:$A$1001,customers!C314:$C$1001,,0))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2">
      <c r="A316" s="2" t="s">
        <v>2262</v>
      </c>
      <c r="B316" s="3">
        <v>44437</v>
      </c>
      <c r="C316" s="2" t="s">
        <v>2263</v>
      </c>
      <c r="D316" t="s">
        <v>6177</v>
      </c>
      <c r="E316" s="2">
        <v>5</v>
      </c>
      <c r="F316" s="2" t="str">
        <f>_xlfn.XLOOKUP(C316,customers!$A$1:$A$1001,customers!$B$1:$B$1001,,0)</f>
        <v>Stacy Pickworth</v>
      </c>
      <c r="G316" s="2" t="str" cm="1">
        <f t="array" ref="G316">IF(_xlfn.XLOOKUP(C316,customers!A315:$A$1001,customers!C315:$C$1001,,0)=0,"",_xlfn.XLOOKUP(C316,customers!A315:$A$1001,customers!C315:$C$1001,,0))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2">
      <c r="A317" s="2" t="s">
        <v>2267</v>
      </c>
      <c r="B317" s="3">
        <v>43826</v>
      </c>
      <c r="C317" s="2" t="s">
        <v>2268</v>
      </c>
      <c r="D317" t="s">
        <v>6148</v>
      </c>
      <c r="E317" s="2">
        <v>1</v>
      </c>
      <c r="F317" s="2" t="str">
        <f>_xlfn.XLOOKUP(C317,customers!$A$1:$A$1001,customers!$B$1:$B$1001,,0)</f>
        <v>Melli Brockway</v>
      </c>
      <c r="G317" s="2" t="str" cm="1">
        <f t="array" ref="G317">IF(_xlfn.XLOOKUP(C317,customers!A316:$A$1001,customers!C316:$C$1001,,0)=0,"",_xlfn.XLOOKUP(C317,customers!A316:$A$1001,customers!C316:$C$1001,,0))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2">
      <c r="A318" s="2" t="s">
        <v>2273</v>
      </c>
      <c r="B318" s="3">
        <v>43641</v>
      </c>
      <c r="C318" s="2" t="s">
        <v>2274</v>
      </c>
      <c r="D318" t="s">
        <v>6148</v>
      </c>
      <c r="E318" s="2">
        <v>6</v>
      </c>
      <c r="F318" s="2" t="str">
        <f>_xlfn.XLOOKUP(C318,customers!$A$1:$A$1001,customers!$B$1:$B$1001,,0)</f>
        <v>Nanny Lush</v>
      </c>
      <c r="G318" s="2" t="str" cm="1">
        <f t="array" ref="G318">IF(_xlfn.XLOOKUP(C318,customers!A317:$A$1001,customers!C317:$C$1001,,0)=0,"",_xlfn.XLOOKUP(C318,customers!A317:$A$1001,customers!C317:$C$1001,,0))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2">
      <c r="A319" s="2" t="s">
        <v>2279</v>
      </c>
      <c r="B319" s="3">
        <v>43526</v>
      </c>
      <c r="C319" s="2" t="s">
        <v>2280</v>
      </c>
      <c r="D319" t="s">
        <v>6144</v>
      </c>
      <c r="E319" s="2">
        <v>3</v>
      </c>
      <c r="F319" s="2" t="str">
        <f>_xlfn.XLOOKUP(C319,customers!$A$1:$A$1001,customers!$B$1:$B$1001,,0)</f>
        <v>Selma McMillian</v>
      </c>
      <c r="G319" s="2" t="str" cm="1">
        <f t="array" ref="G319">IF(_xlfn.XLOOKUP(C319,customers!A318:$A$1001,customers!C318:$C$1001,,0)=0,"",_xlfn.XLOOKUP(C319,customers!A318:$A$1001,customers!C318:$C$1001,,0))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2">
      <c r="A320" s="2" t="s">
        <v>2285</v>
      </c>
      <c r="B320" s="3">
        <v>44563</v>
      </c>
      <c r="C320" s="2" t="s">
        <v>2286</v>
      </c>
      <c r="D320" t="s">
        <v>6175</v>
      </c>
      <c r="E320" s="2">
        <v>2</v>
      </c>
      <c r="F320" s="2" t="str">
        <f>_xlfn.XLOOKUP(C320,customers!$A$1:$A$1001,customers!$B$1:$B$1001,,0)</f>
        <v>Tess Bennison</v>
      </c>
      <c r="G320" s="2" t="str" cm="1">
        <f t="array" ref="G320">IF(_xlfn.XLOOKUP(C320,customers!A319:$A$1001,customers!C319:$C$1001,,0)=0,"",_xlfn.XLOOKUP(C320,customers!A319:$A$1001,customers!C319:$C$1001,,0))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2">
      <c r="A321" s="2" t="s">
        <v>2291</v>
      </c>
      <c r="B321" s="3">
        <v>43676</v>
      </c>
      <c r="C321" s="2" t="s">
        <v>2292</v>
      </c>
      <c r="D321" t="s">
        <v>6156</v>
      </c>
      <c r="E321" s="2">
        <v>2</v>
      </c>
      <c r="F321" s="2" t="str">
        <f>_xlfn.XLOOKUP(C321,customers!$A$1:$A$1001,customers!$B$1:$B$1001,,0)</f>
        <v>Gabie Tweed</v>
      </c>
      <c r="G321" s="2" t="str" cm="1">
        <f t="array" ref="G321">IF(_xlfn.XLOOKUP(C321,customers!A320:$A$1001,customers!C320:$C$1001,,0)=0,"",_xlfn.XLOOKUP(C321,customers!A320:$A$1001,customers!C320:$C$1001,,0))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2">
      <c r="A322" s="2" t="s">
        <v>2291</v>
      </c>
      <c r="B322" s="3">
        <v>43676</v>
      </c>
      <c r="C322" s="2" t="s">
        <v>2292</v>
      </c>
      <c r="D322" t="s">
        <v>6167</v>
      </c>
      <c r="E322" s="2">
        <v>5</v>
      </c>
      <c r="F322" s="2" t="str">
        <f>_xlfn.XLOOKUP(C322,customers!$A$1:$A$1001,customers!$B$1:$B$1001,,0)</f>
        <v>Gabie Tweed</v>
      </c>
      <c r="G322" s="2" t="str" cm="1">
        <f t="array" ref="G322">IF(_xlfn.XLOOKUP(C322,customers!A321:$A$1001,customers!C321:$C$1001,,0)=0,"",_xlfn.XLOOKUP(C322,customers!A321:$A$1001,customers!C321:$C$1001,,0))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2">
      <c r="A323" s="2" t="s">
        <v>2301</v>
      </c>
      <c r="B323" s="3">
        <v>44170</v>
      </c>
      <c r="C323" s="2" t="s">
        <v>2302</v>
      </c>
      <c r="D323" t="s">
        <v>6152</v>
      </c>
      <c r="E323" s="2">
        <v>6</v>
      </c>
      <c r="F323" s="2" t="str">
        <f>_xlfn.XLOOKUP(C323,customers!$A$1:$A$1001,customers!$B$1:$B$1001,,0)</f>
        <v>Gaile Goggin</v>
      </c>
      <c r="G323" s="2" t="str" cm="1">
        <f t="array" ref="G323">IF(_xlfn.XLOOKUP(C323,customers!A322:$A$1001,customers!C322:$C$1001,,0)=0,"",_xlfn.XLOOKUP(C323,customers!A322:$A$1001,customers!C322:$C$1001,,0))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 "Robusta", IF(I323="Exc", "Excelsa", IF(I323="Ara", "Arabica", IF(I323="Lib", "Liberica", ""))))</f>
        <v>Arabica</v>
      </c>
      <c r="O323" t="str">
        <f t="shared" ref="O323:O386" si="17">IF(J323="M", "Medium", IF(J323="L", "Light", IF(J323="D", "Dark", "")))</f>
        <v>Medium</v>
      </c>
      <c r="P323" t="str">
        <f>_xlfn.XLOOKUP(Orders[[#This Row],[Customer ID]],customers!$A$1:$A$1001,customers!$I$1:$I$1001,,0)</f>
        <v>Yes</v>
      </c>
    </row>
    <row r="324" spans="1:16" x14ac:dyDescent="0.2">
      <c r="A324" s="2" t="s">
        <v>2307</v>
      </c>
      <c r="B324" s="3">
        <v>44182</v>
      </c>
      <c r="C324" s="2" t="s">
        <v>2308</v>
      </c>
      <c r="D324" t="s">
        <v>6169</v>
      </c>
      <c r="E324" s="2">
        <v>3</v>
      </c>
      <c r="F324" s="2" t="str">
        <f>_xlfn.XLOOKUP(C324,customers!$A$1:$A$1001,customers!$B$1:$B$1001,,0)</f>
        <v>Skylar Jeyness</v>
      </c>
      <c r="G324" s="2" t="str" cm="1">
        <f t="array" ref="G324">IF(_xlfn.XLOOKUP(C324,customers!A323:$A$1001,customers!C323:$C$1001,,0)=0,"",_xlfn.XLOOKUP(C324,customers!A323:$A$1001,customers!C323:$C$1001,,0))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2">
      <c r="A325" s="2" t="s">
        <v>2313</v>
      </c>
      <c r="B325" s="3">
        <v>44373</v>
      </c>
      <c r="C325" s="2" t="s">
        <v>2314</v>
      </c>
      <c r="D325" t="s">
        <v>6153</v>
      </c>
      <c r="E325" s="2">
        <v>5</v>
      </c>
      <c r="F325" s="2" t="str">
        <f>_xlfn.XLOOKUP(C325,customers!$A$1:$A$1001,customers!$B$1:$B$1001,,0)</f>
        <v>Donica Bonhome</v>
      </c>
      <c r="G325" s="2" t="str" cm="1">
        <f t="array" ref="G325">IF(_xlfn.XLOOKUP(C325,customers!A324:$A$1001,customers!C324:$C$1001,,0)=0,"",_xlfn.XLOOKUP(C325,customers!A324:$A$1001,customers!C324:$C$1001,,0))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2">
      <c r="A326" s="2" t="s">
        <v>2319</v>
      </c>
      <c r="B326" s="3">
        <v>43666</v>
      </c>
      <c r="C326" s="2" t="s">
        <v>2320</v>
      </c>
      <c r="D326" t="s">
        <v>6141</v>
      </c>
      <c r="E326" s="2">
        <v>1</v>
      </c>
      <c r="F326" s="2" t="str">
        <f>_xlfn.XLOOKUP(C326,customers!$A$1:$A$1001,customers!$B$1:$B$1001,,0)</f>
        <v>Diena Peetermann</v>
      </c>
      <c r="G326" s="2" t="str" cm="1">
        <f t="array" ref="G326">IF(_xlfn.XLOOKUP(C326,customers!A325:$A$1001,customers!C325:$C$1001,,0)=0,"",_xlfn.XLOOKUP(C326,customers!A325:$A$1001,customers!C325:$C$1001,,0))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2">
      <c r="A327" s="2" t="s">
        <v>2324</v>
      </c>
      <c r="B327" s="3">
        <v>44756</v>
      </c>
      <c r="C327" s="2" t="s">
        <v>2325</v>
      </c>
      <c r="D327" t="s">
        <v>6182</v>
      </c>
      <c r="E327" s="2">
        <v>1</v>
      </c>
      <c r="F327" s="2" t="str">
        <f>_xlfn.XLOOKUP(C327,customers!$A$1:$A$1001,customers!$B$1:$B$1001,,0)</f>
        <v>Trina Le Sarr</v>
      </c>
      <c r="G327" s="2" t="str" cm="1">
        <f t="array" ref="G327">IF(_xlfn.XLOOKUP(C327,customers!A326:$A$1001,customers!C326:$C$1001,,0)=0,"",_xlfn.XLOOKUP(C327,customers!A326:$A$1001,customers!C326:$C$1001,,0))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2">
      <c r="A328" s="2" t="s">
        <v>2330</v>
      </c>
      <c r="B328" s="3">
        <v>44057</v>
      </c>
      <c r="C328" s="2" t="s">
        <v>2331</v>
      </c>
      <c r="D328" t="s">
        <v>6177</v>
      </c>
      <c r="E328" s="2">
        <v>5</v>
      </c>
      <c r="F328" s="2" t="str">
        <f>_xlfn.XLOOKUP(C328,customers!$A$1:$A$1001,customers!$B$1:$B$1001,,0)</f>
        <v>Flynn Antony</v>
      </c>
      <c r="G328" s="2" t="str" cm="1">
        <f t="array" ref="G328">IF(_xlfn.XLOOKUP(C328,customers!A327:$A$1001,customers!C327:$C$1001,,0)=0,"",_xlfn.XLOOKUP(C328,customers!A327:$A$1001,customers!C327:$C$1001,,0))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2">
      <c r="A329" s="2" t="s">
        <v>2335</v>
      </c>
      <c r="B329" s="3">
        <v>43579</v>
      </c>
      <c r="C329" s="2" t="s">
        <v>2336</v>
      </c>
      <c r="D329" t="s">
        <v>6177</v>
      </c>
      <c r="E329" s="2">
        <v>5</v>
      </c>
      <c r="F329" s="2" t="str">
        <f>_xlfn.XLOOKUP(C329,customers!$A$1:$A$1001,customers!$B$1:$B$1001,,0)</f>
        <v>Baudoin Alldridge</v>
      </c>
      <c r="G329" s="2" t="str" cm="1">
        <f t="array" ref="G329">IF(_xlfn.XLOOKUP(C329,customers!A328:$A$1001,customers!C328:$C$1001,,0)=0,"",_xlfn.XLOOKUP(C329,customers!A328:$A$1001,customers!C328:$C$1001,,0))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2">
      <c r="A330" s="2" t="s">
        <v>2341</v>
      </c>
      <c r="B330" s="3">
        <v>43620</v>
      </c>
      <c r="C330" s="2" t="s">
        <v>2342</v>
      </c>
      <c r="D330" t="s">
        <v>6161</v>
      </c>
      <c r="E330" s="2">
        <v>4</v>
      </c>
      <c r="F330" s="2" t="str">
        <f>_xlfn.XLOOKUP(C330,customers!$A$1:$A$1001,customers!$B$1:$B$1001,,0)</f>
        <v>Homer Dulany</v>
      </c>
      <c r="G330" s="2" t="str" cm="1">
        <f t="array" ref="G330">IF(_xlfn.XLOOKUP(C330,customers!A329:$A$1001,customers!C329:$C$1001,,0)=0,"",_xlfn.XLOOKUP(C330,customers!A329:$A$1001,customers!C329:$C$1001,,0))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2">
      <c r="A331" s="2" t="s">
        <v>2346</v>
      </c>
      <c r="B331" s="3">
        <v>44781</v>
      </c>
      <c r="C331" s="2" t="s">
        <v>2347</v>
      </c>
      <c r="D331" t="s">
        <v>6172</v>
      </c>
      <c r="E331" s="2">
        <v>4</v>
      </c>
      <c r="F331" s="2" t="str">
        <f>_xlfn.XLOOKUP(C331,customers!$A$1:$A$1001,customers!$B$1:$B$1001,,0)</f>
        <v>Lisa Goodger</v>
      </c>
      <c r="G331" s="2" t="str" cm="1">
        <f t="array" ref="G331">IF(_xlfn.XLOOKUP(C331,customers!A330:$A$1001,customers!C330:$C$1001,,0)=0,"",_xlfn.XLOOKUP(C331,customers!A330:$A$1001,customers!C330:$C$1001,,0))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2">
      <c r="A332" s="2" t="s">
        <v>2351</v>
      </c>
      <c r="B332" s="3">
        <v>43782</v>
      </c>
      <c r="C332" s="2" t="s">
        <v>2280</v>
      </c>
      <c r="D332" t="s">
        <v>6172</v>
      </c>
      <c r="E332" s="2">
        <v>3</v>
      </c>
      <c r="F332" s="2" t="str">
        <f>_xlfn.XLOOKUP(C332,customers!$A$1:$A$1001,customers!$B$1:$B$1001,,0)</f>
        <v>Selma McMillian</v>
      </c>
      <c r="G332" s="2" t="e" cm="1">
        <f t="array" ref="G332">IF(_xlfn.XLOOKUP(C332,customers!A331:$A$1001,customers!C331:$C$1001,,0)=0,"",_xlfn.XLOOKUP(C332,customers!A331:$A$1001,customers!C331:$C$1001,,0))</f>
        <v>#N/A</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2">
      <c r="A333" s="2" t="s">
        <v>2357</v>
      </c>
      <c r="B333" s="3">
        <v>43989</v>
      </c>
      <c r="C333" s="2" t="s">
        <v>2358</v>
      </c>
      <c r="D333" t="s">
        <v>6151</v>
      </c>
      <c r="E333" s="2">
        <v>1</v>
      </c>
      <c r="F333" s="2" t="str">
        <f>_xlfn.XLOOKUP(C333,customers!$A$1:$A$1001,customers!$B$1:$B$1001,,0)</f>
        <v>Corine Drewett</v>
      </c>
      <c r="G333" s="2" t="str" cm="1">
        <f t="array" ref="G333">IF(_xlfn.XLOOKUP(C333,customers!A332:$A$1001,customers!C332:$C$1001,,0)=0,"",_xlfn.XLOOKUP(C333,customers!A332:$A$1001,customers!C332:$C$1001,,0))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2">
      <c r="A334" s="2" t="s">
        <v>2363</v>
      </c>
      <c r="B334" s="3">
        <v>43689</v>
      </c>
      <c r="C334" s="2" t="s">
        <v>2364</v>
      </c>
      <c r="D334" t="s">
        <v>6158</v>
      </c>
      <c r="E334" s="2">
        <v>3</v>
      </c>
      <c r="F334" s="2" t="str">
        <f>_xlfn.XLOOKUP(C334,customers!$A$1:$A$1001,customers!$B$1:$B$1001,,0)</f>
        <v>Quinn Parsons</v>
      </c>
      <c r="G334" s="2" t="str" cm="1">
        <f t="array" ref="G334">IF(_xlfn.XLOOKUP(C334,customers!A333:$A$1001,customers!C333:$C$1001,,0)=0,"",_xlfn.XLOOKUP(C334,customers!A333:$A$1001,customers!C333:$C$1001,,0))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2">
      <c r="A335" s="2" t="s">
        <v>2369</v>
      </c>
      <c r="B335" s="3">
        <v>43712</v>
      </c>
      <c r="C335" s="2" t="s">
        <v>2370</v>
      </c>
      <c r="D335" t="s">
        <v>6146</v>
      </c>
      <c r="E335" s="2">
        <v>4</v>
      </c>
      <c r="F335" s="2" t="str">
        <f>_xlfn.XLOOKUP(C335,customers!$A$1:$A$1001,customers!$B$1:$B$1001,,0)</f>
        <v>Vivyan Ceely</v>
      </c>
      <c r="G335" s="2" t="str" cm="1">
        <f t="array" ref="G335">IF(_xlfn.XLOOKUP(C335,customers!A334:$A$1001,customers!C334:$C$1001,,0)=0,"",_xlfn.XLOOKUP(C335,customers!A334:$A$1001,customers!C334:$C$1001,,0))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2">
      <c r="A336" s="2" t="s">
        <v>2375</v>
      </c>
      <c r="B336" s="3">
        <v>43742</v>
      </c>
      <c r="C336" s="2" t="s">
        <v>2376</v>
      </c>
      <c r="D336" t="s">
        <v>6179</v>
      </c>
      <c r="E336" s="2">
        <v>5</v>
      </c>
      <c r="F336" s="2" t="str">
        <f>_xlfn.XLOOKUP(C336,customers!$A$1:$A$1001,customers!$B$1:$B$1001,,0)</f>
        <v>Elonore Goodings</v>
      </c>
      <c r="G336" s="2" t="str" cm="1">
        <f t="array" ref="G336">IF(_xlfn.XLOOKUP(C336,customers!A335:$A$1001,customers!C335:$C$1001,,0)=0,"",_xlfn.XLOOKUP(C336,customers!A335:$A$1001,customers!C335:$C$1001,,0))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2">
      <c r="A337" s="2" t="s">
        <v>2379</v>
      </c>
      <c r="B337" s="3">
        <v>43885</v>
      </c>
      <c r="C337" s="2" t="s">
        <v>2380</v>
      </c>
      <c r="D337" t="s">
        <v>6145</v>
      </c>
      <c r="E337" s="2">
        <v>6</v>
      </c>
      <c r="F337" s="2" t="str">
        <f>_xlfn.XLOOKUP(C337,customers!$A$1:$A$1001,customers!$B$1:$B$1001,,0)</f>
        <v>Clement Vasiliev</v>
      </c>
      <c r="G337" s="2" t="str" cm="1">
        <f t="array" ref="G337">IF(_xlfn.XLOOKUP(C337,customers!A336:$A$1001,customers!C336:$C$1001,,0)=0,"",_xlfn.XLOOKUP(C337,customers!A336:$A$1001,customers!C336:$C$1001,,0))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2">
      <c r="A338" s="2" t="s">
        <v>2385</v>
      </c>
      <c r="B338" s="3">
        <v>44434</v>
      </c>
      <c r="C338" s="2" t="s">
        <v>2386</v>
      </c>
      <c r="D338" t="s">
        <v>6155</v>
      </c>
      <c r="E338" s="2">
        <v>4</v>
      </c>
      <c r="F338" s="2" t="str">
        <f>_xlfn.XLOOKUP(C338,customers!$A$1:$A$1001,customers!$B$1:$B$1001,,0)</f>
        <v>Terencio O'Moylan</v>
      </c>
      <c r="G338" s="2" t="str" cm="1">
        <f t="array" ref="G338">IF(_xlfn.XLOOKUP(C338,customers!A337:$A$1001,customers!C337:$C$1001,,0)=0,"",_xlfn.XLOOKUP(C338,customers!A337:$A$1001,customers!C337:$C$1001,,0))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2">
      <c r="A339" s="2" t="s">
        <v>2391</v>
      </c>
      <c r="B339" s="3">
        <v>44472</v>
      </c>
      <c r="C339" s="2" t="s">
        <v>2331</v>
      </c>
      <c r="D339" t="s">
        <v>6185</v>
      </c>
      <c r="E339" s="2">
        <v>2</v>
      </c>
      <c r="F339" s="2" t="str">
        <f>_xlfn.XLOOKUP(C339,customers!$A$1:$A$1001,customers!$B$1:$B$1001,,0)</f>
        <v>Flynn Antony</v>
      </c>
      <c r="G339" s="2" t="e" cm="1">
        <f t="array" ref="G339">IF(_xlfn.XLOOKUP(C339,customers!A338:$A$1001,customers!C338:$C$1001,,0)=0,"",_xlfn.XLOOKUP(C339,customers!A338:$A$1001,customers!C338:$C$1001,,0))</f>
        <v>#N/A</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2">
      <c r="A340" s="2" t="s">
        <v>2396</v>
      </c>
      <c r="B340" s="3">
        <v>43995</v>
      </c>
      <c r="C340" s="2" t="s">
        <v>2397</v>
      </c>
      <c r="D340" t="s">
        <v>6171</v>
      </c>
      <c r="E340" s="2">
        <v>4</v>
      </c>
      <c r="F340" s="2" t="str">
        <f>_xlfn.XLOOKUP(C340,customers!$A$1:$A$1001,customers!$B$1:$B$1001,,0)</f>
        <v>Wyatan Fetherston</v>
      </c>
      <c r="G340" s="2" t="str" cm="1">
        <f t="array" ref="G340">IF(_xlfn.XLOOKUP(C340,customers!A339:$A$1001,customers!C339:$C$1001,,0)=0,"",_xlfn.XLOOKUP(C340,customers!A339:$A$1001,customers!C339:$C$1001,,0))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2">
      <c r="A341" s="2" t="s">
        <v>2402</v>
      </c>
      <c r="B341" s="3">
        <v>44256</v>
      </c>
      <c r="C341" s="2" t="s">
        <v>2403</v>
      </c>
      <c r="D341" t="s">
        <v>6153</v>
      </c>
      <c r="E341" s="2">
        <v>2</v>
      </c>
      <c r="F341" s="2" t="str">
        <f>_xlfn.XLOOKUP(C341,customers!$A$1:$A$1001,customers!$B$1:$B$1001,,0)</f>
        <v>Emmaline Rasmus</v>
      </c>
      <c r="G341" s="2" t="str" cm="1">
        <f t="array" ref="G341">IF(_xlfn.XLOOKUP(C341,customers!A340:$A$1001,customers!C340:$C$1001,,0)=0,"",_xlfn.XLOOKUP(C341,customers!A340:$A$1001,customers!C340:$C$1001,,0))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2">
      <c r="A342" s="2" t="s">
        <v>2408</v>
      </c>
      <c r="B342" s="3">
        <v>43528</v>
      </c>
      <c r="C342" s="2" t="s">
        <v>2409</v>
      </c>
      <c r="D342" t="s">
        <v>6144</v>
      </c>
      <c r="E342" s="2">
        <v>1</v>
      </c>
      <c r="F342" s="2" t="str">
        <f>_xlfn.XLOOKUP(C342,customers!$A$1:$A$1001,customers!$B$1:$B$1001,,0)</f>
        <v>Wesley Giorgioni</v>
      </c>
      <c r="G342" s="2" t="str" cm="1">
        <f t="array" ref="G342">IF(_xlfn.XLOOKUP(C342,customers!A341:$A$1001,customers!C341:$C$1001,,0)=0,"",_xlfn.XLOOKUP(C342,customers!A341:$A$1001,customers!C341:$C$1001,,0))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2">
      <c r="A343" s="2" t="s">
        <v>2414</v>
      </c>
      <c r="B343" s="3">
        <v>43751</v>
      </c>
      <c r="C343" s="2" t="s">
        <v>2415</v>
      </c>
      <c r="D343" t="s">
        <v>6176</v>
      </c>
      <c r="E343" s="2">
        <v>2</v>
      </c>
      <c r="F343" s="2" t="str">
        <f>_xlfn.XLOOKUP(C343,customers!$A$1:$A$1001,customers!$B$1:$B$1001,,0)</f>
        <v>Lucienne Scargle</v>
      </c>
      <c r="G343" s="2" t="str" cm="1">
        <f t="array" ref="G343">IF(_xlfn.XLOOKUP(C343,customers!A342:$A$1001,customers!C342:$C$1001,,0)=0,"",_xlfn.XLOOKUP(C343,customers!A342:$A$1001,customers!C342:$C$1001,,0))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2">
      <c r="A344" s="2" t="s">
        <v>2414</v>
      </c>
      <c r="B344" s="3">
        <v>43751</v>
      </c>
      <c r="C344" s="2" t="s">
        <v>2415</v>
      </c>
      <c r="D344" t="s">
        <v>6169</v>
      </c>
      <c r="E344" s="2">
        <v>5</v>
      </c>
      <c r="F344" s="2" t="str">
        <f>_xlfn.XLOOKUP(C344,customers!$A$1:$A$1001,customers!$B$1:$B$1001,,0)</f>
        <v>Lucienne Scargle</v>
      </c>
      <c r="G344" s="2" t="str" cm="1">
        <f t="array" ref="G344">IF(_xlfn.XLOOKUP(C344,customers!A343:$A$1001,customers!C343:$C$1001,,0)=0,"",_xlfn.XLOOKUP(C344,customers!A343:$A$1001,customers!C343:$C$1001,,0))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2">
      <c r="A345" s="2" t="s">
        <v>2424</v>
      </c>
      <c r="B345" s="3">
        <v>43692</v>
      </c>
      <c r="C345" s="2" t="s">
        <v>2425</v>
      </c>
      <c r="D345" t="s">
        <v>6172</v>
      </c>
      <c r="E345" s="2">
        <v>6</v>
      </c>
      <c r="F345" s="2" t="str">
        <f>_xlfn.XLOOKUP(C345,customers!$A$1:$A$1001,customers!$B$1:$B$1001,,0)</f>
        <v>Noam Climance</v>
      </c>
      <c r="G345" s="2" t="str" cm="1">
        <f t="array" ref="G345">IF(_xlfn.XLOOKUP(C345,customers!A344:$A$1001,customers!C344:$C$1001,,0)=0,"",_xlfn.XLOOKUP(C345,customers!A344:$A$1001,customers!C344:$C$1001,,0))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2">
      <c r="A346" s="2" t="s">
        <v>2429</v>
      </c>
      <c r="B346" s="3">
        <v>44529</v>
      </c>
      <c r="C346" s="2" t="s">
        <v>2430</v>
      </c>
      <c r="D346" t="s">
        <v>6138</v>
      </c>
      <c r="E346" s="2">
        <v>2</v>
      </c>
      <c r="F346" s="2" t="str">
        <f>_xlfn.XLOOKUP(C346,customers!$A$1:$A$1001,customers!$B$1:$B$1001,,0)</f>
        <v>Catarina Donn</v>
      </c>
      <c r="G346" s="2" t="str" cm="1">
        <f t="array" ref="G346">IF(_xlfn.XLOOKUP(C346,customers!A345:$A$1001,customers!C345:$C$1001,,0)=0,"",_xlfn.XLOOKUP(C346,customers!A345:$A$1001,customers!C345:$C$1001,,0))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2">
      <c r="A347" s="2" t="s">
        <v>2434</v>
      </c>
      <c r="B347" s="3">
        <v>43849</v>
      </c>
      <c r="C347" s="2" t="s">
        <v>2435</v>
      </c>
      <c r="D347" t="s">
        <v>6179</v>
      </c>
      <c r="E347" s="2">
        <v>5</v>
      </c>
      <c r="F347" s="2" t="str">
        <f>_xlfn.XLOOKUP(C347,customers!$A$1:$A$1001,customers!$B$1:$B$1001,,0)</f>
        <v>Ameline Snazle</v>
      </c>
      <c r="G347" s="2" t="str" cm="1">
        <f t="array" ref="G347">IF(_xlfn.XLOOKUP(C347,customers!A346:$A$1001,customers!C346:$C$1001,,0)=0,"",_xlfn.XLOOKUP(C347,customers!A346:$A$1001,customers!C346:$C$1001,,0))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2">
      <c r="A348" s="2" t="s">
        <v>2440</v>
      </c>
      <c r="B348" s="3">
        <v>44344</v>
      </c>
      <c r="C348" s="2" t="s">
        <v>2441</v>
      </c>
      <c r="D348" t="s">
        <v>6180</v>
      </c>
      <c r="E348" s="2">
        <v>3</v>
      </c>
      <c r="F348" s="2" t="str">
        <f>_xlfn.XLOOKUP(C348,customers!$A$1:$A$1001,customers!$B$1:$B$1001,,0)</f>
        <v>Rebeka Worg</v>
      </c>
      <c r="G348" s="2" t="str" cm="1">
        <f t="array" ref="G348">IF(_xlfn.XLOOKUP(C348,customers!A347:$A$1001,customers!C347:$C$1001,,0)=0,"",_xlfn.XLOOKUP(C348,customers!A347:$A$1001,customers!C347:$C$1001,,0))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2">
      <c r="A349" s="2" t="s">
        <v>2446</v>
      </c>
      <c r="B349" s="3">
        <v>44576</v>
      </c>
      <c r="C349" s="2" t="s">
        <v>2447</v>
      </c>
      <c r="D349" t="s">
        <v>6162</v>
      </c>
      <c r="E349" s="2">
        <v>3</v>
      </c>
      <c r="F349" s="2" t="str">
        <f>_xlfn.XLOOKUP(C349,customers!$A$1:$A$1001,customers!$B$1:$B$1001,,0)</f>
        <v>Lewes Danes</v>
      </c>
      <c r="G349" s="2" t="str" cm="1">
        <f t="array" ref="G349">IF(_xlfn.XLOOKUP(C349,customers!A348:$A$1001,customers!C348:$C$1001,,0)=0,"",_xlfn.XLOOKUP(C349,customers!A348:$A$1001,customers!C348:$C$1001,,0))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2">
      <c r="A350" s="2" t="s">
        <v>2452</v>
      </c>
      <c r="B350" s="3">
        <v>43803</v>
      </c>
      <c r="C350" s="2" t="s">
        <v>2453</v>
      </c>
      <c r="D350" t="s">
        <v>6148</v>
      </c>
      <c r="E350" s="2">
        <v>6</v>
      </c>
      <c r="F350" s="2" t="str">
        <f>_xlfn.XLOOKUP(C350,customers!$A$1:$A$1001,customers!$B$1:$B$1001,,0)</f>
        <v>Shelli Keynd</v>
      </c>
      <c r="G350" s="2" t="str" cm="1">
        <f t="array" ref="G350">IF(_xlfn.XLOOKUP(C350,customers!A349:$A$1001,customers!C349:$C$1001,,0)=0,"",_xlfn.XLOOKUP(C350,customers!A349:$A$1001,customers!C349:$C$1001,,0))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2">
      <c r="A351" s="2" t="s">
        <v>2458</v>
      </c>
      <c r="B351" s="3">
        <v>44743</v>
      </c>
      <c r="C351" s="2" t="s">
        <v>2459</v>
      </c>
      <c r="D351" t="s">
        <v>6178</v>
      </c>
      <c r="E351" s="2">
        <v>4</v>
      </c>
      <c r="F351" s="2" t="str">
        <f>_xlfn.XLOOKUP(C351,customers!$A$1:$A$1001,customers!$B$1:$B$1001,,0)</f>
        <v>Dell Daveridge</v>
      </c>
      <c r="G351" s="2" t="str" cm="1">
        <f t="array" ref="G351">IF(_xlfn.XLOOKUP(C351,customers!A350:$A$1001,customers!C350:$C$1001,,0)=0,"",_xlfn.XLOOKUP(C351,customers!A350:$A$1001,customers!C350:$C$1001,,0))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2">
      <c r="A352" s="2" t="s">
        <v>2464</v>
      </c>
      <c r="B352" s="3">
        <v>43592</v>
      </c>
      <c r="C352" s="2" t="s">
        <v>2465</v>
      </c>
      <c r="D352" t="s">
        <v>6158</v>
      </c>
      <c r="E352" s="2">
        <v>4</v>
      </c>
      <c r="F352" s="2" t="str">
        <f>_xlfn.XLOOKUP(C352,customers!$A$1:$A$1001,customers!$B$1:$B$1001,,0)</f>
        <v>Joshuah Awdry</v>
      </c>
      <c r="G352" s="2" t="str" cm="1">
        <f t="array" ref="G352">IF(_xlfn.XLOOKUP(C352,customers!A351:$A$1001,customers!C351:$C$1001,,0)=0,"",_xlfn.XLOOKUP(C352,customers!A351:$A$1001,customers!C351:$C$1001,,0))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2">
      <c r="A353" s="2" t="s">
        <v>2470</v>
      </c>
      <c r="B353" s="3">
        <v>44066</v>
      </c>
      <c r="C353" s="2" t="s">
        <v>2471</v>
      </c>
      <c r="D353" t="s">
        <v>6155</v>
      </c>
      <c r="E353" s="2">
        <v>2</v>
      </c>
      <c r="F353" s="2" t="str">
        <f>_xlfn.XLOOKUP(C353,customers!$A$1:$A$1001,customers!$B$1:$B$1001,,0)</f>
        <v>Ethel Ryles</v>
      </c>
      <c r="G353" s="2" t="str" cm="1">
        <f t="array" ref="G353">IF(_xlfn.XLOOKUP(C353,customers!A352:$A$1001,customers!C352:$C$1001,,0)=0,"",_xlfn.XLOOKUP(C353,customers!A352:$A$1001,customers!C352:$C$1001,,0))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2">
      <c r="A354" s="2" t="s">
        <v>2476</v>
      </c>
      <c r="B354" s="3">
        <v>43984</v>
      </c>
      <c r="C354" s="2" t="s">
        <v>2331</v>
      </c>
      <c r="D354" t="s">
        <v>6144</v>
      </c>
      <c r="E354" s="2">
        <v>5</v>
      </c>
      <c r="F354" s="2" t="str">
        <f>_xlfn.XLOOKUP(C354,customers!$A$1:$A$1001,customers!$B$1:$B$1001,,0)</f>
        <v>Flynn Antony</v>
      </c>
      <c r="G354" s="2" t="e" cm="1">
        <f t="array" ref="G354">IF(_xlfn.XLOOKUP(C354,customers!A353:$A$1001,customers!C353:$C$1001,,0)=0,"",_xlfn.XLOOKUP(C354,customers!A353:$A$1001,customers!C353:$C$1001,,0))</f>
        <v>#N/A</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2">
      <c r="A355" s="2" t="s">
        <v>2482</v>
      </c>
      <c r="B355" s="3">
        <v>43860</v>
      </c>
      <c r="C355" s="2" t="s">
        <v>2483</v>
      </c>
      <c r="D355" t="s">
        <v>6157</v>
      </c>
      <c r="E355" s="2">
        <v>4</v>
      </c>
      <c r="F355" s="2" t="str">
        <f>_xlfn.XLOOKUP(C355,customers!$A$1:$A$1001,customers!$B$1:$B$1001,,0)</f>
        <v>Maitilde Boxill</v>
      </c>
      <c r="G355" s="2" t="str" cm="1">
        <f t="array" ref="G355">IF(_xlfn.XLOOKUP(C355,customers!A354:$A$1001,customers!C354:$C$1001,,0)=0,"",_xlfn.XLOOKUP(C355,customers!A354:$A$1001,customers!C354:$C$1001,,0))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2">
      <c r="A356" s="2" t="s">
        <v>2487</v>
      </c>
      <c r="B356" s="3">
        <v>43876</v>
      </c>
      <c r="C356" s="2" t="s">
        <v>2488</v>
      </c>
      <c r="D356" t="s">
        <v>6175</v>
      </c>
      <c r="E356" s="2">
        <v>6</v>
      </c>
      <c r="F356" s="2" t="str">
        <f>_xlfn.XLOOKUP(C356,customers!$A$1:$A$1001,customers!$B$1:$B$1001,,0)</f>
        <v>Jodee Caldicott</v>
      </c>
      <c r="G356" s="2" t="str" cm="1">
        <f t="array" ref="G356">IF(_xlfn.XLOOKUP(C356,customers!A355:$A$1001,customers!C355:$C$1001,,0)=0,"",_xlfn.XLOOKUP(C356,customers!A355:$A$1001,customers!C355:$C$1001,,0))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2">
      <c r="A357" s="2" t="s">
        <v>2492</v>
      </c>
      <c r="B357" s="3">
        <v>44358</v>
      </c>
      <c r="C357" s="2" t="s">
        <v>2493</v>
      </c>
      <c r="D357" t="s">
        <v>6168</v>
      </c>
      <c r="E357" s="2">
        <v>5</v>
      </c>
      <c r="F357" s="2" t="str">
        <f>_xlfn.XLOOKUP(C357,customers!$A$1:$A$1001,customers!$B$1:$B$1001,,0)</f>
        <v>Marianna Vedmore</v>
      </c>
      <c r="G357" s="2" t="str" cm="1">
        <f t="array" ref="G357">IF(_xlfn.XLOOKUP(C357,customers!A356:$A$1001,customers!C356:$C$1001,,0)=0,"",_xlfn.XLOOKUP(C357,customers!A356:$A$1001,customers!C356:$C$1001,,0))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2">
      <c r="A358" s="2" t="s">
        <v>2498</v>
      </c>
      <c r="B358" s="3">
        <v>44631</v>
      </c>
      <c r="C358" s="2" t="s">
        <v>2499</v>
      </c>
      <c r="D358" t="s">
        <v>6143</v>
      </c>
      <c r="E358" s="2">
        <v>4</v>
      </c>
      <c r="F358" s="2" t="str">
        <f>_xlfn.XLOOKUP(C358,customers!$A$1:$A$1001,customers!$B$1:$B$1001,,0)</f>
        <v>Willey Romao</v>
      </c>
      <c r="G358" s="2" t="str" cm="1">
        <f t="array" ref="G358">IF(_xlfn.XLOOKUP(C358,customers!A357:$A$1001,customers!C357:$C$1001,,0)=0,"",_xlfn.XLOOKUP(C358,customers!A357:$A$1001,customers!C357:$C$1001,,0))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2">
      <c r="A359" s="2" t="s">
        <v>2504</v>
      </c>
      <c r="B359" s="3">
        <v>44448</v>
      </c>
      <c r="C359" s="2" t="s">
        <v>2505</v>
      </c>
      <c r="D359" t="s">
        <v>6175</v>
      </c>
      <c r="E359" s="2">
        <v>6</v>
      </c>
      <c r="F359" s="2" t="str">
        <f>_xlfn.XLOOKUP(C359,customers!$A$1:$A$1001,customers!$B$1:$B$1001,,0)</f>
        <v>Enriqueta Ixor</v>
      </c>
      <c r="G359" s="2" t="str" cm="1">
        <f t="array" ref="G359">IF(_xlfn.XLOOKUP(C359,customers!A358:$A$1001,customers!C358:$C$1001,,0)=0,"",_xlfn.XLOOKUP(C359,customers!A358:$A$1001,customers!C358:$C$1001,,0))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2">
      <c r="A360" s="2" t="s">
        <v>2509</v>
      </c>
      <c r="B360" s="3">
        <v>43599</v>
      </c>
      <c r="C360" s="2" t="s">
        <v>2510</v>
      </c>
      <c r="D360" t="s">
        <v>6182</v>
      </c>
      <c r="E360" s="2">
        <v>1</v>
      </c>
      <c r="F360" s="2" t="str">
        <f>_xlfn.XLOOKUP(C360,customers!$A$1:$A$1001,customers!$B$1:$B$1001,,0)</f>
        <v>Tomasina Cotmore</v>
      </c>
      <c r="G360" s="2" t="str" cm="1">
        <f t="array" ref="G360">IF(_xlfn.XLOOKUP(C360,customers!A359:$A$1001,customers!C359:$C$1001,,0)=0,"",_xlfn.XLOOKUP(C360,customers!A359:$A$1001,customers!C359:$C$1001,,0))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2">
      <c r="A361" s="2" t="s">
        <v>2515</v>
      </c>
      <c r="B361" s="3">
        <v>43563</v>
      </c>
      <c r="C361" s="2" t="s">
        <v>2516</v>
      </c>
      <c r="D361" t="s">
        <v>6178</v>
      </c>
      <c r="E361" s="2">
        <v>6</v>
      </c>
      <c r="F361" s="2" t="str">
        <f>_xlfn.XLOOKUP(C361,customers!$A$1:$A$1001,customers!$B$1:$B$1001,,0)</f>
        <v>Yuma Skipsey</v>
      </c>
      <c r="G361" s="2" t="str" cm="1">
        <f t="array" ref="G361">IF(_xlfn.XLOOKUP(C361,customers!A360:$A$1001,customers!C360:$C$1001,,0)=0,"",_xlfn.XLOOKUP(C361,customers!A360:$A$1001,customers!C360:$C$1001,,0))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2">
      <c r="A362" s="2" t="s">
        <v>2521</v>
      </c>
      <c r="B362" s="3">
        <v>44058</v>
      </c>
      <c r="C362" s="2" t="s">
        <v>2522</v>
      </c>
      <c r="D362" t="s">
        <v>6149</v>
      </c>
      <c r="E362" s="2">
        <v>2</v>
      </c>
      <c r="F362" s="2" t="str">
        <f>_xlfn.XLOOKUP(C362,customers!$A$1:$A$1001,customers!$B$1:$B$1001,,0)</f>
        <v>Nicko Corps</v>
      </c>
      <c r="G362" s="2" t="str" cm="1">
        <f t="array" ref="G362">IF(_xlfn.XLOOKUP(C362,customers!A361:$A$1001,customers!C361:$C$1001,,0)=0,"",_xlfn.XLOOKUP(C362,customers!A361:$A$1001,customers!C361:$C$1001,,0))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2">
      <c r="A363" s="2" t="s">
        <v>2521</v>
      </c>
      <c r="B363" s="3">
        <v>44058</v>
      </c>
      <c r="C363" s="2" t="s">
        <v>2522</v>
      </c>
      <c r="D363" t="s">
        <v>6146</v>
      </c>
      <c r="E363" s="2">
        <v>1</v>
      </c>
      <c r="F363" s="2" t="str">
        <f>_xlfn.XLOOKUP(C363,customers!$A$1:$A$1001,customers!$B$1:$B$1001,,0)</f>
        <v>Nicko Corps</v>
      </c>
      <c r="G363" s="2" t="str" cm="1">
        <f t="array" ref="G363">IF(_xlfn.XLOOKUP(C363,customers!A362:$A$1001,customers!C362:$C$1001,,0)=0,"",_xlfn.XLOOKUP(C363,customers!A362:$A$1001,customers!C362:$C$1001,,0))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2">
      <c r="A364" s="2" t="s">
        <v>2532</v>
      </c>
      <c r="B364" s="3">
        <v>44686</v>
      </c>
      <c r="C364" s="2" t="s">
        <v>2533</v>
      </c>
      <c r="D364" t="s">
        <v>6171</v>
      </c>
      <c r="E364" s="2">
        <v>5</v>
      </c>
      <c r="F364" s="2" t="str">
        <f>_xlfn.XLOOKUP(C364,customers!$A$1:$A$1001,customers!$B$1:$B$1001,,0)</f>
        <v>Feliks Babber</v>
      </c>
      <c r="G364" s="2" t="str" cm="1">
        <f t="array" ref="G364">IF(_xlfn.XLOOKUP(C364,customers!A363:$A$1001,customers!C363:$C$1001,,0)=0,"",_xlfn.XLOOKUP(C364,customers!A363:$A$1001,customers!C363:$C$1001,,0))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2">
      <c r="A365" s="2" t="s">
        <v>2538</v>
      </c>
      <c r="B365" s="3">
        <v>44282</v>
      </c>
      <c r="C365" s="2" t="s">
        <v>2539</v>
      </c>
      <c r="D365" t="s">
        <v>6162</v>
      </c>
      <c r="E365" s="2">
        <v>6</v>
      </c>
      <c r="F365" s="2" t="str">
        <f>_xlfn.XLOOKUP(C365,customers!$A$1:$A$1001,customers!$B$1:$B$1001,,0)</f>
        <v>Kaja Loxton</v>
      </c>
      <c r="G365" s="2" t="str" cm="1">
        <f t="array" ref="G365">IF(_xlfn.XLOOKUP(C365,customers!A364:$A$1001,customers!C364:$C$1001,,0)=0,"",_xlfn.XLOOKUP(C365,customers!A364:$A$1001,customers!C364:$C$1001,,0))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2">
      <c r="A366" s="2" t="s">
        <v>2543</v>
      </c>
      <c r="B366" s="3">
        <v>43582</v>
      </c>
      <c r="C366" s="2" t="s">
        <v>2544</v>
      </c>
      <c r="D366" t="s">
        <v>6183</v>
      </c>
      <c r="E366" s="2">
        <v>6</v>
      </c>
      <c r="F366" s="2" t="str">
        <f>_xlfn.XLOOKUP(C366,customers!$A$1:$A$1001,customers!$B$1:$B$1001,,0)</f>
        <v>Parker Tofful</v>
      </c>
      <c r="G366" s="2" t="str" cm="1">
        <f t="array" ref="G366">IF(_xlfn.XLOOKUP(C366,customers!A365:$A$1001,customers!C365:$C$1001,,0)=0,"",_xlfn.XLOOKUP(C366,customers!A365:$A$1001,customers!C365:$C$1001,,0))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2">
      <c r="A367" s="2" t="s">
        <v>2549</v>
      </c>
      <c r="B367" s="3">
        <v>44464</v>
      </c>
      <c r="C367" s="2" t="s">
        <v>2550</v>
      </c>
      <c r="D367" t="s">
        <v>6169</v>
      </c>
      <c r="E367" s="2">
        <v>1</v>
      </c>
      <c r="F367" s="2" t="str">
        <f>_xlfn.XLOOKUP(C367,customers!$A$1:$A$1001,customers!$B$1:$B$1001,,0)</f>
        <v>Casi Gwinnett</v>
      </c>
      <c r="G367" s="2" t="str" cm="1">
        <f t="array" ref="G367">IF(_xlfn.XLOOKUP(C367,customers!A366:$A$1001,customers!C366:$C$1001,,0)=0,"",_xlfn.XLOOKUP(C367,customers!A366:$A$1001,customers!C366:$C$1001,,0))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2">
      <c r="A368" s="2" t="s">
        <v>2554</v>
      </c>
      <c r="B368" s="3">
        <v>43874</v>
      </c>
      <c r="C368" s="2" t="s">
        <v>2555</v>
      </c>
      <c r="D368" t="s">
        <v>6144</v>
      </c>
      <c r="E368" s="2">
        <v>6</v>
      </c>
      <c r="F368" s="2" t="str">
        <f>_xlfn.XLOOKUP(C368,customers!$A$1:$A$1001,customers!$B$1:$B$1001,,0)</f>
        <v>Saree Ellesworth</v>
      </c>
      <c r="G368" s="2" t="str" cm="1">
        <f t="array" ref="G368">IF(_xlfn.XLOOKUP(C368,customers!A367:$A$1001,customers!C367:$C$1001,,0)=0,"",_xlfn.XLOOKUP(C368,customers!A367:$A$1001,customers!C367:$C$1001,,0))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2">
      <c r="A369" s="2" t="s">
        <v>2559</v>
      </c>
      <c r="B369" s="3">
        <v>44393</v>
      </c>
      <c r="C369" s="2" t="s">
        <v>2560</v>
      </c>
      <c r="D369" t="s">
        <v>6159</v>
      </c>
      <c r="E369" s="2">
        <v>2</v>
      </c>
      <c r="F369" s="2" t="str">
        <f>_xlfn.XLOOKUP(C369,customers!$A$1:$A$1001,customers!$B$1:$B$1001,,0)</f>
        <v>Silvio Iorizzi</v>
      </c>
      <c r="G369" s="2" t="str" cm="1">
        <f t="array" ref="G369">IF(_xlfn.XLOOKUP(C369,customers!A368:$A$1001,customers!C368:$C$1001,,0)=0,"",_xlfn.XLOOKUP(C369,customers!A368:$A$1001,customers!C368:$C$1001,,0))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2">
      <c r="A370" s="2" t="s">
        <v>2563</v>
      </c>
      <c r="B370" s="3">
        <v>44692</v>
      </c>
      <c r="C370" s="2" t="s">
        <v>2564</v>
      </c>
      <c r="D370" t="s">
        <v>6166</v>
      </c>
      <c r="E370" s="2">
        <v>2</v>
      </c>
      <c r="F370" s="2" t="str">
        <f>_xlfn.XLOOKUP(C370,customers!$A$1:$A$1001,customers!$B$1:$B$1001,,0)</f>
        <v>Leesa Flaonier</v>
      </c>
      <c r="G370" s="2" t="str" cm="1">
        <f t="array" ref="G370">IF(_xlfn.XLOOKUP(C370,customers!A369:$A$1001,customers!C369:$C$1001,,0)=0,"",_xlfn.XLOOKUP(C370,customers!A369:$A$1001,customers!C369:$C$1001,,0))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2">
      <c r="A371" s="2" t="s">
        <v>2569</v>
      </c>
      <c r="B371" s="3">
        <v>43500</v>
      </c>
      <c r="C371" s="2" t="s">
        <v>2570</v>
      </c>
      <c r="D371" t="s">
        <v>6176</v>
      </c>
      <c r="E371" s="2">
        <v>1</v>
      </c>
      <c r="F371" s="2" t="str">
        <f>_xlfn.XLOOKUP(C371,customers!$A$1:$A$1001,customers!$B$1:$B$1001,,0)</f>
        <v>Abba Pummell</v>
      </c>
      <c r="G371" s="2" t="str" cm="1">
        <f t="array" ref="G371">IF(_xlfn.XLOOKUP(C371,customers!A370:$A$1001,customers!C370:$C$1001,,0)=0,"",_xlfn.XLOOKUP(C371,customers!A370:$A$1001,customers!C370:$C$1001,,0))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2">
      <c r="A372" s="2" t="s">
        <v>2573</v>
      </c>
      <c r="B372" s="3">
        <v>43501</v>
      </c>
      <c r="C372" s="2" t="s">
        <v>2574</v>
      </c>
      <c r="D372" t="s">
        <v>6183</v>
      </c>
      <c r="E372" s="2">
        <v>2</v>
      </c>
      <c r="F372" s="2" t="str">
        <f>_xlfn.XLOOKUP(C372,customers!$A$1:$A$1001,customers!$B$1:$B$1001,,0)</f>
        <v>Corinna Catcheside</v>
      </c>
      <c r="G372" s="2" t="str" cm="1">
        <f t="array" ref="G372">IF(_xlfn.XLOOKUP(C372,customers!A371:$A$1001,customers!C371:$C$1001,,0)=0,"",_xlfn.XLOOKUP(C372,customers!A371:$A$1001,customers!C371:$C$1001,,0))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2">
      <c r="A373" s="2" t="s">
        <v>2579</v>
      </c>
      <c r="B373" s="3">
        <v>44705</v>
      </c>
      <c r="C373" s="2" t="s">
        <v>2580</v>
      </c>
      <c r="D373" t="s">
        <v>6180</v>
      </c>
      <c r="E373" s="2">
        <v>6</v>
      </c>
      <c r="F373" s="2" t="str">
        <f>_xlfn.XLOOKUP(C373,customers!$A$1:$A$1001,customers!$B$1:$B$1001,,0)</f>
        <v>Cortney Gibbonson</v>
      </c>
      <c r="G373" s="2" t="str" cm="1">
        <f t="array" ref="G373">IF(_xlfn.XLOOKUP(C373,customers!A372:$A$1001,customers!C372:$C$1001,,0)=0,"",_xlfn.XLOOKUP(C373,customers!A372:$A$1001,customers!C372:$C$1001,,0))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2">
      <c r="A374" s="2" t="s">
        <v>2585</v>
      </c>
      <c r="B374" s="3">
        <v>44108</v>
      </c>
      <c r="C374" s="2" t="s">
        <v>2586</v>
      </c>
      <c r="D374" t="s">
        <v>6173</v>
      </c>
      <c r="E374" s="2">
        <v>6</v>
      </c>
      <c r="F374" s="2" t="str">
        <f>_xlfn.XLOOKUP(C374,customers!$A$1:$A$1001,customers!$B$1:$B$1001,,0)</f>
        <v>Terri Farra</v>
      </c>
      <c r="G374" s="2" t="str" cm="1">
        <f t="array" ref="G374">IF(_xlfn.XLOOKUP(C374,customers!A373:$A$1001,customers!C373:$C$1001,,0)=0,"",_xlfn.XLOOKUP(C374,customers!A373:$A$1001,customers!C373:$C$1001,,0))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2">
      <c r="A375" s="2" t="s">
        <v>2591</v>
      </c>
      <c r="B375" s="3">
        <v>44742</v>
      </c>
      <c r="C375" s="2" t="s">
        <v>2592</v>
      </c>
      <c r="D375" t="s">
        <v>6158</v>
      </c>
      <c r="E375" s="2">
        <v>3</v>
      </c>
      <c r="F375" s="2" t="str">
        <f>_xlfn.XLOOKUP(C375,customers!$A$1:$A$1001,customers!$B$1:$B$1001,,0)</f>
        <v>Corney Curme</v>
      </c>
      <c r="G375" s="2" t="str" cm="1">
        <f t="array" ref="G375">IF(_xlfn.XLOOKUP(C375,customers!A374:$A$1001,customers!C374:$C$1001,,0)=0,"",_xlfn.XLOOKUP(C375,customers!A374:$A$1001,customers!C374:$C$1001,,0))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2">
      <c r="A376" s="2" t="s">
        <v>2597</v>
      </c>
      <c r="B376" s="3">
        <v>44125</v>
      </c>
      <c r="C376" s="2" t="s">
        <v>2598</v>
      </c>
      <c r="D376" t="s">
        <v>6161</v>
      </c>
      <c r="E376" s="2">
        <v>4</v>
      </c>
      <c r="F376" s="2" t="str">
        <f>_xlfn.XLOOKUP(C376,customers!$A$1:$A$1001,customers!$B$1:$B$1001,,0)</f>
        <v>Gothart Bamfield</v>
      </c>
      <c r="G376" s="2" t="str" cm="1">
        <f t="array" ref="G376">IF(_xlfn.XLOOKUP(C376,customers!A375:$A$1001,customers!C375:$C$1001,,0)=0,"",_xlfn.XLOOKUP(C376,customers!A375:$A$1001,customers!C375:$C$1001,,0))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2">
      <c r="A377" s="2" t="s">
        <v>2603</v>
      </c>
      <c r="B377" s="3">
        <v>44120</v>
      </c>
      <c r="C377" s="2" t="s">
        <v>2604</v>
      </c>
      <c r="D377" t="s">
        <v>6152</v>
      </c>
      <c r="E377" s="2">
        <v>2</v>
      </c>
      <c r="F377" s="2" t="str">
        <f>_xlfn.XLOOKUP(C377,customers!$A$1:$A$1001,customers!$B$1:$B$1001,,0)</f>
        <v>Waylin Hollingdale</v>
      </c>
      <c r="G377" s="2" t="str" cm="1">
        <f t="array" ref="G377">IF(_xlfn.XLOOKUP(C377,customers!A376:$A$1001,customers!C376:$C$1001,,0)=0,"",_xlfn.XLOOKUP(C377,customers!A376:$A$1001,customers!C376:$C$1001,,0))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2">
      <c r="A378" s="2" t="s">
        <v>2609</v>
      </c>
      <c r="B378" s="3">
        <v>44097</v>
      </c>
      <c r="C378" s="2" t="s">
        <v>2610</v>
      </c>
      <c r="D378" t="s">
        <v>6146</v>
      </c>
      <c r="E378" s="2">
        <v>1</v>
      </c>
      <c r="F378" s="2" t="str">
        <f>_xlfn.XLOOKUP(C378,customers!$A$1:$A$1001,customers!$B$1:$B$1001,,0)</f>
        <v>Judd De Leek</v>
      </c>
      <c r="G378" s="2" t="str" cm="1">
        <f t="array" ref="G378">IF(_xlfn.XLOOKUP(C378,customers!A377:$A$1001,customers!C377:$C$1001,,0)=0,"",_xlfn.XLOOKUP(C378,customers!A377:$A$1001,customers!C377:$C$1001,,0))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2">
      <c r="A379" s="2" t="s">
        <v>2615</v>
      </c>
      <c r="B379" s="3">
        <v>43532</v>
      </c>
      <c r="C379" s="2" t="s">
        <v>2616</v>
      </c>
      <c r="D379" t="s">
        <v>6163</v>
      </c>
      <c r="E379" s="2">
        <v>3</v>
      </c>
      <c r="F379" s="2" t="str">
        <f>_xlfn.XLOOKUP(C379,customers!$A$1:$A$1001,customers!$B$1:$B$1001,,0)</f>
        <v>Vanya Skullet</v>
      </c>
      <c r="G379" s="2" t="str" cm="1">
        <f t="array" ref="G379">IF(_xlfn.XLOOKUP(C379,customers!A378:$A$1001,customers!C378:$C$1001,,0)=0,"",_xlfn.XLOOKUP(C379,customers!A378:$A$1001,customers!C378:$C$1001,,0))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2">
      <c r="A380" s="2" t="s">
        <v>2621</v>
      </c>
      <c r="B380" s="3">
        <v>44377</v>
      </c>
      <c r="C380" s="2" t="s">
        <v>2622</v>
      </c>
      <c r="D380" t="s">
        <v>6180</v>
      </c>
      <c r="E380" s="2">
        <v>3</v>
      </c>
      <c r="F380" s="2" t="str">
        <f>_xlfn.XLOOKUP(C380,customers!$A$1:$A$1001,customers!$B$1:$B$1001,,0)</f>
        <v>Jany Rudeforth</v>
      </c>
      <c r="G380" s="2" t="str" cm="1">
        <f t="array" ref="G380">IF(_xlfn.XLOOKUP(C380,customers!A379:$A$1001,customers!C379:$C$1001,,0)=0,"",_xlfn.XLOOKUP(C380,customers!A379:$A$1001,customers!C379:$C$1001,,0))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2">
      <c r="A381" s="2" t="s">
        <v>2627</v>
      </c>
      <c r="B381" s="3">
        <v>43690</v>
      </c>
      <c r="C381" s="2" t="s">
        <v>2628</v>
      </c>
      <c r="D381" t="s">
        <v>6173</v>
      </c>
      <c r="E381" s="2">
        <v>6</v>
      </c>
      <c r="F381" s="2" t="str">
        <f>_xlfn.XLOOKUP(C381,customers!$A$1:$A$1001,customers!$B$1:$B$1001,,0)</f>
        <v>Ashbey Tomaszewski</v>
      </c>
      <c r="G381" s="2" t="str" cm="1">
        <f t="array" ref="G381">IF(_xlfn.XLOOKUP(C381,customers!A380:$A$1001,customers!C380:$C$1001,,0)=0,"",_xlfn.XLOOKUP(C381,customers!A380:$A$1001,customers!C380:$C$1001,,0))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2">
      <c r="A382" s="2" t="s">
        <v>2632</v>
      </c>
      <c r="B382" s="3">
        <v>44249</v>
      </c>
      <c r="C382" s="2" t="s">
        <v>2331</v>
      </c>
      <c r="D382" t="s">
        <v>6169</v>
      </c>
      <c r="E382" s="2">
        <v>3</v>
      </c>
      <c r="F382" s="2" t="str">
        <f>_xlfn.XLOOKUP(C382,customers!$A$1:$A$1001,customers!$B$1:$B$1001,,0)</f>
        <v>Flynn Antony</v>
      </c>
      <c r="G382" s="2" t="e" cm="1">
        <f t="array" ref="G382">IF(_xlfn.XLOOKUP(C382,customers!A381:$A$1001,customers!C381:$C$1001,,0)=0,"",_xlfn.XLOOKUP(C382,customers!A381:$A$1001,customers!C381:$C$1001,,0))</f>
        <v>#N/A</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2">
      <c r="A383" s="2" t="s">
        <v>2638</v>
      </c>
      <c r="B383" s="3">
        <v>44646</v>
      </c>
      <c r="C383" s="2" t="s">
        <v>2639</v>
      </c>
      <c r="D383" t="s">
        <v>6154</v>
      </c>
      <c r="E383" s="2">
        <v>5</v>
      </c>
      <c r="F383" s="2" t="str">
        <f>_xlfn.XLOOKUP(C383,customers!$A$1:$A$1001,customers!$B$1:$B$1001,,0)</f>
        <v>Pren Bess</v>
      </c>
      <c r="G383" s="2" t="str" cm="1">
        <f t="array" ref="G383">IF(_xlfn.XLOOKUP(C383,customers!A382:$A$1001,customers!C382:$C$1001,,0)=0,"",_xlfn.XLOOKUP(C383,customers!A382:$A$1001,customers!C382:$C$1001,,0))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2">
      <c r="A384" s="2" t="s">
        <v>2644</v>
      </c>
      <c r="B384" s="3">
        <v>43840</v>
      </c>
      <c r="C384" s="2" t="s">
        <v>2645</v>
      </c>
      <c r="D384" t="s">
        <v>6144</v>
      </c>
      <c r="E384" s="2">
        <v>3</v>
      </c>
      <c r="F384" s="2" t="str">
        <f>_xlfn.XLOOKUP(C384,customers!$A$1:$A$1001,customers!$B$1:$B$1001,,0)</f>
        <v>Elka Windress</v>
      </c>
      <c r="G384" s="2" t="str" cm="1">
        <f t="array" ref="G384">IF(_xlfn.XLOOKUP(C384,customers!A383:$A$1001,customers!C383:$C$1001,,0)=0,"",_xlfn.XLOOKUP(C384,customers!A383:$A$1001,customers!C383:$C$1001,,0))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2">
      <c r="A385" s="2" t="s">
        <v>2650</v>
      </c>
      <c r="B385" s="3">
        <v>43586</v>
      </c>
      <c r="C385" s="2" t="s">
        <v>2651</v>
      </c>
      <c r="D385" t="s">
        <v>6176</v>
      </c>
      <c r="E385" s="2">
        <v>6</v>
      </c>
      <c r="F385" s="2" t="str">
        <f>_xlfn.XLOOKUP(C385,customers!$A$1:$A$1001,customers!$B$1:$B$1001,,0)</f>
        <v>Marty Kidstoun</v>
      </c>
      <c r="G385" s="2" t="str" cm="1">
        <f t="array" ref="G385">IF(_xlfn.XLOOKUP(C385,customers!A384:$A$1001,customers!C384:$C$1001,,0)=0,"",_xlfn.XLOOKUP(C385,customers!A384:$A$1001,customers!C384:$C$1001,,0))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2">
      <c r="A386" s="2" t="s">
        <v>2655</v>
      </c>
      <c r="B386" s="3">
        <v>43870</v>
      </c>
      <c r="C386" s="2" t="s">
        <v>2656</v>
      </c>
      <c r="D386" t="s">
        <v>6182</v>
      </c>
      <c r="E386" s="2">
        <v>4</v>
      </c>
      <c r="F386" s="2" t="str">
        <f>_xlfn.XLOOKUP(C386,customers!$A$1:$A$1001,customers!$B$1:$B$1001,,0)</f>
        <v>Nickey Dimbleby</v>
      </c>
      <c r="G386" s="2" t="str" cm="1">
        <f t="array" ref="G386">IF(_xlfn.XLOOKUP(C386,customers!A385:$A$1001,customers!C385:$C$1001,,0)=0,"",_xlfn.XLOOKUP(C386,customers!A385:$A$1001,customers!C385:$C$1001,,0))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2">
      <c r="A387" s="2" t="s">
        <v>2660</v>
      </c>
      <c r="B387" s="3">
        <v>44559</v>
      </c>
      <c r="C387" s="2" t="s">
        <v>2661</v>
      </c>
      <c r="D387" t="s">
        <v>6160</v>
      </c>
      <c r="E387" s="2">
        <v>5</v>
      </c>
      <c r="F387" s="2" t="str">
        <f>_xlfn.XLOOKUP(C387,customers!$A$1:$A$1001,customers!$B$1:$B$1001,,0)</f>
        <v>Virgil Baumadier</v>
      </c>
      <c r="G387" s="2" t="str" cm="1">
        <f t="array" ref="G387">IF(_xlfn.XLOOKUP(C387,customers!A386:$A$1001,customers!C386:$C$1001,,0)=0,"",_xlfn.XLOOKUP(C387,customers!A386:$A$1001,customers!C386:$C$1001,,0))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 "Robusta", IF(I387="Exc", "Excelsa", IF(I387="Ara", "Arabica", IF(I387="Lib", "Liberica", ""))))</f>
        <v>Liberica</v>
      </c>
      <c r="O387" t="str">
        <f t="shared" ref="O387:O450" si="20">IF(J387="M", "Medium", IF(J387="L", "Light", IF(J387="D", "Dark", "")))</f>
        <v>Medium</v>
      </c>
      <c r="P387" t="str">
        <f>_xlfn.XLOOKUP(Orders[[#This Row],[Customer ID]],customers!$A$1:$A$1001,customers!$I$1:$I$1001,,0)</f>
        <v>Yes</v>
      </c>
    </row>
    <row r="388" spans="1:16" x14ac:dyDescent="0.2">
      <c r="A388" s="2" t="s">
        <v>2666</v>
      </c>
      <c r="B388" s="3">
        <v>44083</v>
      </c>
      <c r="C388" s="2" t="s">
        <v>2667</v>
      </c>
      <c r="D388" t="s">
        <v>6154</v>
      </c>
      <c r="E388" s="2">
        <v>6</v>
      </c>
      <c r="F388" s="2" t="str">
        <f>_xlfn.XLOOKUP(C388,customers!$A$1:$A$1001,customers!$B$1:$B$1001,,0)</f>
        <v>Lenore Messenbird</v>
      </c>
      <c r="G388" s="2" t="str" cm="1">
        <f t="array" ref="G388">IF(_xlfn.XLOOKUP(C388,customers!A387:$A$1001,customers!C387:$C$1001,,0)=0,"",_xlfn.XLOOKUP(C388,customers!A387:$A$1001,customers!C387:$C$1001,,0))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2">
      <c r="A389" s="2" t="s">
        <v>2671</v>
      </c>
      <c r="B389" s="3">
        <v>44455</v>
      </c>
      <c r="C389" s="2" t="s">
        <v>2672</v>
      </c>
      <c r="D389" t="s">
        <v>6171</v>
      </c>
      <c r="E389" s="2">
        <v>5</v>
      </c>
      <c r="F389" s="2" t="str">
        <f>_xlfn.XLOOKUP(C389,customers!$A$1:$A$1001,customers!$B$1:$B$1001,,0)</f>
        <v>Shirleen Welds</v>
      </c>
      <c r="G389" s="2" t="str" cm="1">
        <f t="array" ref="G389">IF(_xlfn.XLOOKUP(C389,customers!A388:$A$1001,customers!C388:$C$1001,,0)=0,"",_xlfn.XLOOKUP(C389,customers!A388:$A$1001,customers!C388:$C$1001,,0))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2">
      <c r="A390" s="2" t="s">
        <v>2677</v>
      </c>
      <c r="B390" s="3">
        <v>44130</v>
      </c>
      <c r="C390" s="2" t="s">
        <v>2678</v>
      </c>
      <c r="D390" t="s">
        <v>6150</v>
      </c>
      <c r="E390" s="2">
        <v>3</v>
      </c>
      <c r="F390" s="2" t="str">
        <f>_xlfn.XLOOKUP(C390,customers!$A$1:$A$1001,customers!$B$1:$B$1001,,0)</f>
        <v>Maisie Sarvar</v>
      </c>
      <c r="G390" s="2" t="str" cm="1">
        <f t="array" ref="G390">IF(_xlfn.XLOOKUP(C390,customers!A389:$A$1001,customers!C389:$C$1001,,0)=0,"",_xlfn.XLOOKUP(C390,customers!A389:$A$1001,customers!C389:$C$1001,,0))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2">
      <c r="A391" s="2" t="s">
        <v>2683</v>
      </c>
      <c r="B391" s="3">
        <v>43536</v>
      </c>
      <c r="C391" s="2" t="s">
        <v>2684</v>
      </c>
      <c r="D391" t="s">
        <v>6169</v>
      </c>
      <c r="E391" s="2">
        <v>3</v>
      </c>
      <c r="F391" s="2" t="str">
        <f>_xlfn.XLOOKUP(C391,customers!$A$1:$A$1001,customers!$B$1:$B$1001,,0)</f>
        <v>Andrej Havick</v>
      </c>
      <c r="G391" s="2" t="str" cm="1">
        <f t="array" ref="G391">IF(_xlfn.XLOOKUP(C391,customers!A390:$A$1001,customers!C390:$C$1001,,0)=0,"",_xlfn.XLOOKUP(C391,customers!A390:$A$1001,customers!C390:$C$1001,,0))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2">
      <c r="A392" s="2" t="s">
        <v>2689</v>
      </c>
      <c r="B392" s="3">
        <v>44245</v>
      </c>
      <c r="C392" s="2" t="s">
        <v>2690</v>
      </c>
      <c r="D392" t="s">
        <v>6144</v>
      </c>
      <c r="E392" s="2">
        <v>2</v>
      </c>
      <c r="F392" s="2" t="str">
        <f>_xlfn.XLOOKUP(C392,customers!$A$1:$A$1001,customers!$B$1:$B$1001,,0)</f>
        <v>Sloan Diviny</v>
      </c>
      <c r="G392" s="2" t="str" cm="1">
        <f t="array" ref="G392">IF(_xlfn.XLOOKUP(C392,customers!A391:$A$1001,customers!C391:$C$1001,,0)=0,"",_xlfn.XLOOKUP(C392,customers!A391:$A$1001,customers!C391:$C$1001,,0))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2">
      <c r="A393" s="2" t="s">
        <v>2694</v>
      </c>
      <c r="B393" s="3">
        <v>44133</v>
      </c>
      <c r="C393" s="2" t="s">
        <v>2695</v>
      </c>
      <c r="D393" t="s">
        <v>6157</v>
      </c>
      <c r="E393" s="2">
        <v>2</v>
      </c>
      <c r="F393" s="2" t="str">
        <f>_xlfn.XLOOKUP(C393,customers!$A$1:$A$1001,customers!$B$1:$B$1001,,0)</f>
        <v>Itch Norquoy</v>
      </c>
      <c r="G393" s="2" t="str" cm="1">
        <f t="array" ref="G393">IF(_xlfn.XLOOKUP(C393,customers!A392:$A$1001,customers!C392:$C$1001,,0)=0,"",_xlfn.XLOOKUP(C393,customers!A392:$A$1001,customers!C392:$C$1001,,0))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2">
      <c r="A394" s="2" t="s">
        <v>2699</v>
      </c>
      <c r="B394" s="3">
        <v>44445</v>
      </c>
      <c r="C394" s="2" t="s">
        <v>2700</v>
      </c>
      <c r="D394" t="s">
        <v>6171</v>
      </c>
      <c r="E394" s="2">
        <v>6</v>
      </c>
      <c r="F394" s="2" t="str">
        <f>_xlfn.XLOOKUP(C394,customers!$A$1:$A$1001,customers!$B$1:$B$1001,,0)</f>
        <v>Anson Iddison</v>
      </c>
      <c r="G394" s="2" t="str" cm="1">
        <f t="array" ref="G394">IF(_xlfn.XLOOKUP(C394,customers!A393:$A$1001,customers!C393:$C$1001,,0)=0,"",_xlfn.XLOOKUP(C394,customers!A393:$A$1001,customers!C393:$C$1001,,0))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2">
      <c r="A395" s="2" t="s">
        <v>2699</v>
      </c>
      <c r="B395" s="3">
        <v>44445</v>
      </c>
      <c r="C395" s="2" t="s">
        <v>2700</v>
      </c>
      <c r="D395" t="s">
        <v>6167</v>
      </c>
      <c r="E395" s="2">
        <v>1</v>
      </c>
      <c r="F395" s="2" t="str">
        <f>_xlfn.XLOOKUP(C395,customers!$A$1:$A$1001,customers!$B$1:$B$1001,,0)</f>
        <v>Anson Iddison</v>
      </c>
      <c r="G395" s="2" t="str" cm="1">
        <f t="array" ref="G395">IF(_xlfn.XLOOKUP(C395,customers!A394:$A$1001,customers!C394:$C$1001,,0)=0,"",_xlfn.XLOOKUP(C395,customers!A394:$A$1001,customers!C394:$C$1001,,0))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2">
      <c r="A396" s="2" t="s">
        <v>2710</v>
      </c>
      <c r="B396" s="3">
        <v>44083</v>
      </c>
      <c r="C396" s="2" t="s">
        <v>2711</v>
      </c>
      <c r="D396" t="s">
        <v>6142</v>
      </c>
      <c r="E396" s="2">
        <v>4</v>
      </c>
      <c r="F396" s="2" t="str">
        <f>_xlfn.XLOOKUP(C396,customers!$A$1:$A$1001,customers!$B$1:$B$1001,,0)</f>
        <v>Randal Longfield</v>
      </c>
      <c r="G396" s="2" t="str" cm="1">
        <f t="array" ref="G396">IF(_xlfn.XLOOKUP(C396,customers!A395:$A$1001,customers!C395:$C$1001,,0)=0,"",_xlfn.XLOOKUP(C396,customers!A395:$A$1001,customers!C395:$C$1001,,0))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2">
      <c r="A397" s="2" t="s">
        <v>2716</v>
      </c>
      <c r="B397" s="3">
        <v>44465</v>
      </c>
      <c r="C397" s="2" t="s">
        <v>2717</v>
      </c>
      <c r="D397" t="s">
        <v>6169</v>
      </c>
      <c r="E397" s="2">
        <v>6</v>
      </c>
      <c r="F397" s="2" t="str">
        <f>_xlfn.XLOOKUP(C397,customers!$A$1:$A$1001,customers!$B$1:$B$1001,,0)</f>
        <v>Gregorius Kislingbury</v>
      </c>
      <c r="G397" s="2" t="str" cm="1">
        <f t="array" ref="G397">IF(_xlfn.XLOOKUP(C397,customers!A396:$A$1001,customers!C396:$C$1001,,0)=0,"",_xlfn.XLOOKUP(C397,customers!A396:$A$1001,customers!C396:$C$1001,,0))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2">
      <c r="A398" s="2" t="s">
        <v>2721</v>
      </c>
      <c r="B398" s="3">
        <v>44140</v>
      </c>
      <c r="C398" s="2" t="s">
        <v>2722</v>
      </c>
      <c r="D398" t="s">
        <v>6180</v>
      </c>
      <c r="E398" s="2">
        <v>5</v>
      </c>
      <c r="F398" s="2" t="str">
        <f>_xlfn.XLOOKUP(C398,customers!$A$1:$A$1001,customers!$B$1:$B$1001,,0)</f>
        <v>Xenos Gibbons</v>
      </c>
      <c r="G398" s="2" t="str" cm="1">
        <f t="array" ref="G398">IF(_xlfn.XLOOKUP(C398,customers!A397:$A$1001,customers!C397:$C$1001,,0)=0,"",_xlfn.XLOOKUP(C398,customers!A397:$A$1001,customers!C397:$C$1001,,0))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2">
      <c r="A399" s="2" t="s">
        <v>2727</v>
      </c>
      <c r="B399" s="3">
        <v>43720</v>
      </c>
      <c r="C399" s="2" t="s">
        <v>2728</v>
      </c>
      <c r="D399" t="s">
        <v>6169</v>
      </c>
      <c r="E399" s="2">
        <v>4</v>
      </c>
      <c r="F399" s="2" t="str">
        <f>_xlfn.XLOOKUP(C399,customers!$A$1:$A$1001,customers!$B$1:$B$1001,,0)</f>
        <v>Fleur Parres</v>
      </c>
      <c r="G399" s="2" t="str" cm="1">
        <f t="array" ref="G399">IF(_xlfn.XLOOKUP(C399,customers!A398:$A$1001,customers!C398:$C$1001,,0)=0,"",_xlfn.XLOOKUP(C399,customers!A398:$A$1001,customers!C398:$C$1001,,0))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2">
      <c r="A400" s="2" t="s">
        <v>2733</v>
      </c>
      <c r="B400" s="3">
        <v>43677</v>
      </c>
      <c r="C400" s="2" t="s">
        <v>2734</v>
      </c>
      <c r="D400" t="s">
        <v>6154</v>
      </c>
      <c r="E400" s="2">
        <v>6</v>
      </c>
      <c r="F400" s="2" t="str">
        <f>_xlfn.XLOOKUP(C400,customers!$A$1:$A$1001,customers!$B$1:$B$1001,,0)</f>
        <v>Gran Sibray</v>
      </c>
      <c r="G400" s="2" t="str" cm="1">
        <f t="array" ref="G400">IF(_xlfn.XLOOKUP(C400,customers!A399:$A$1001,customers!C399:$C$1001,,0)=0,"",_xlfn.XLOOKUP(C400,customers!A399:$A$1001,customers!C399:$C$1001,,0))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2">
      <c r="A401" s="2" t="s">
        <v>2739</v>
      </c>
      <c r="B401" s="3">
        <v>43539</v>
      </c>
      <c r="C401" s="2" t="s">
        <v>2740</v>
      </c>
      <c r="D401" t="s">
        <v>6185</v>
      </c>
      <c r="E401" s="2">
        <v>6</v>
      </c>
      <c r="F401" s="2" t="str">
        <f>_xlfn.XLOOKUP(C401,customers!$A$1:$A$1001,customers!$B$1:$B$1001,,0)</f>
        <v>Ingelbert Hotchkin</v>
      </c>
      <c r="G401" s="2" t="str" cm="1">
        <f t="array" ref="G401">IF(_xlfn.XLOOKUP(C401,customers!A400:$A$1001,customers!C400:$C$1001,,0)=0,"",_xlfn.XLOOKUP(C401,customers!A400:$A$1001,customers!C400:$C$1001,,0))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2">
      <c r="A402" s="2" t="s">
        <v>2745</v>
      </c>
      <c r="B402" s="3">
        <v>44332</v>
      </c>
      <c r="C402" s="2" t="s">
        <v>2746</v>
      </c>
      <c r="D402" t="s">
        <v>6170</v>
      </c>
      <c r="E402" s="2">
        <v>4</v>
      </c>
      <c r="F402" s="2" t="str">
        <f>_xlfn.XLOOKUP(C402,customers!$A$1:$A$1001,customers!$B$1:$B$1001,,0)</f>
        <v>Neely Broadberrie</v>
      </c>
      <c r="G402" s="2" t="str" cm="1">
        <f t="array" ref="G402">IF(_xlfn.XLOOKUP(C402,customers!A401:$A$1001,customers!C401:$C$1001,,0)=0,"",_xlfn.XLOOKUP(C402,customers!A401:$A$1001,customers!C401:$C$1001,,0))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2">
      <c r="A403" s="2" t="s">
        <v>2751</v>
      </c>
      <c r="B403" s="3">
        <v>43591</v>
      </c>
      <c r="C403" s="2" t="s">
        <v>2752</v>
      </c>
      <c r="D403" t="s">
        <v>6159</v>
      </c>
      <c r="E403" s="2">
        <v>2</v>
      </c>
      <c r="F403" s="2" t="str">
        <f>_xlfn.XLOOKUP(C403,customers!$A$1:$A$1001,customers!$B$1:$B$1001,,0)</f>
        <v>Rutger Pithcock</v>
      </c>
      <c r="G403" s="2" t="str" cm="1">
        <f t="array" ref="G403">IF(_xlfn.XLOOKUP(C403,customers!A402:$A$1001,customers!C402:$C$1001,,0)=0,"",_xlfn.XLOOKUP(C403,customers!A402:$A$1001,customers!C402:$C$1001,,0))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2">
      <c r="A404" s="2" t="s">
        <v>2757</v>
      </c>
      <c r="B404" s="3">
        <v>43502</v>
      </c>
      <c r="C404" s="2" t="s">
        <v>2758</v>
      </c>
      <c r="D404" t="s">
        <v>6177</v>
      </c>
      <c r="E404" s="2">
        <v>3</v>
      </c>
      <c r="F404" s="2" t="str">
        <f>_xlfn.XLOOKUP(C404,customers!$A$1:$A$1001,customers!$B$1:$B$1001,,0)</f>
        <v>Gale Croysdale</v>
      </c>
      <c r="G404" s="2" t="str" cm="1">
        <f t="array" ref="G404">IF(_xlfn.XLOOKUP(C404,customers!A403:$A$1001,customers!C403:$C$1001,,0)=0,"",_xlfn.XLOOKUP(C404,customers!A403:$A$1001,customers!C403:$C$1001,,0))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2">
      <c r="A405" s="2" t="s">
        <v>2763</v>
      </c>
      <c r="B405" s="3">
        <v>44295</v>
      </c>
      <c r="C405" s="2" t="s">
        <v>2764</v>
      </c>
      <c r="D405" t="s">
        <v>6145</v>
      </c>
      <c r="E405" s="2">
        <v>2</v>
      </c>
      <c r="F405" s="2" t="str">
        <f>_xlfn.XLOOKUP(C405,customers!$A$1:$A$1001,customers!$B$1:$B$1001,,0)</f>
        <v>Benedetto Gozzett</v>
      </c>
      <c r="G405" s="2" t="str" cm="1">
        <f t="array" ref="G405">IF(_xlfn.XLOOKUP(C405,customers!A404:$A$1001,customers!C404:$C$1001,,0)=0,"",_xlfn.XLOOKUP(C405,customers!A404:$A$1001,customers!C404:$C$1001,,0))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2">
      <c r="A406" s="2" t="s">
        <v>2769</v>
      </c>
      <c r="B406" s="3">
        <v>43971</v>
      </c>
      <c r="C406" s="2" t="s">
        <v>2770</v>
      </c>
      <c r="D406" t="s">
        <v>6147</v>
      </c>
      <c r="E406" s="2">
        <v>4</v>
      </c>
      <c r="F406" s="2" t="str">
        <f>_xlfn.XLOOKUP(C406,customers!$A$1:$A$1001,customers!$B$1:$B$1001,,0)</f>
        <v>Tania Craggs</v>
      </c>
      <c r="G406" s="2" t="str" cm="1">
        <f t="array" ref="G406">IF(_xlfn.XLOOKUP(C406,customers!A405:$A$1001,customers!C405:$C$1001,,0)=0,"",_xlfn.XLOOKUP(C406,customers!A405:$A$1001,customers!C405:$C$1001,,0))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2">
      <c r="A407" s="2" t="s">
        <v>2775</v>
      </c>
      <c r="B407" s="3">
        <v>44167</v>
      </c>
      <c r="C407" s="2" t="s">
        <v>2776</v>
      </c>
      <c r="D407" t="s">
        <v>6139</v>
      </c>
      <c r="E407" s="2">
        <v>3</v>
      </c>
      <c r="F407" s="2" t="str">
        <f>_xlfn.XLOOKUP(C407,customers!$A$1:$A$1001,customers!$B$1:$B$1001,,0)</f>
        <v>Leonie Cullrford</v>
      </c>
      <c r="G407" s="2" t="str" cm="1">
        <f t="array" ref="G407">IF(_xlfn.XLOOKUP(C407,customers!A406:$A$1001,customers!C406:$C$1001,,0)=0,"",_xlfn.XLOOKUP(C407,customers!A406:$A$1001,customers!C406:$C$1001,,0))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2">
      <c r="A408" s="2" t="s">
        <v>2781</v>
      </c>
      <c r="B408" s="3">
        <v>44416</v>
      </c>
      <c r="C408" s="2" t="s">
        <v>2782</v>
      </c>
      <c r="D408" t="s">
        <v>6141</v>
      </c>
      <c r="E408" s="2">
        <v>5</v>
      </c>
      <c r="F408" s="2" t="str">
        <f>_xlfn.XLOOKUP(C408,customers!$A$1:$A$1001,customers!$B$1:$B$1001,,0)</f>
        <v>Auguste Rizon</v>
      </c>
      <c r="G408" s="2" t="str" cm="1">
        <f t="array" ref="G408">IF(_xlfn.XLOOKUP(C408,customers!A407:$A$1001,customers!C407:$C$1001,,0)=0,"",_xlfn.XLOOKUP(C408,customers!A407:$A$1001,customers!C407:$C$1001,,0))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2">
      <c r="A409" s="2" t="s">
        <v>2787</v>
      </c>
      <c r="B409" s="3">
        <v>44595</v>
      </c>
      <c r="C409" s="2" t="s">
        <v>2788</v>
      </c>
      <c r="D409" t="s">
        <v>6139</v>
      </c>
      <c r="E409" s="2">
        <v>6</v>
      </c>
      <c r="F409" s="2" t="str">
        <f>_xlfn.XLOOKUP(C409,customers!$A$1:$A$1001,customers!$B$1:$B$1001,,0)</f>
        <v>Lorin Guerrazzi</v>
      </c>
      <c r="G409" s="2" t="str" cm="1">
        <f t="array" ref="G409">IF(_xlfn.XLOOKUP(C409,customers!A408:$A$1001,customers!C408:$C$1001,,0)=0,"",_xlfn.XLOOKUP(C409,customers!A408:$A$1001,customers!C408:$C$1001,,0))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2">
      <c r="A410" s="2" t="s">
        <v>2792</v>
      </c>
      <c r="B410" s="3">
        <v>44659</v>
      </c>
      <c r="C410" s="2" t="s">
        <v>2793</v>
      </c>
      <c r="D410" t="s">
        <v>6175</v>
      </c>
      <c r="E410" s="2">
        <v>2</v>
      </c>
      <c r="F410" s="2" t="str">
        <f>_xlfn.XLOOKUP(C410,customers!$A$1:$A$1001,customers!$B$1:$B$1001,,0)</f>
        <v>Felice Miell</v>
      </c>
      <c r="G410" s="2" t="str" cm="1">
        <f t="array" ref="G410">IF(_xlfn.XLOOKUP(C410,customers!A409:$A$1001,customers!C409:$C$1001,,0)=0,"",_xlfn.XLOOKUP(C410,customers!A409:$A$1001,customers!C409:$C$1001,,0))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2">
      <c r="A411" s="2" t="s">
        <v>2798</v>
      </c>
      <c r="B411" s="3">
        <v>44203</v>
      </c>
      <c r="C411" s="2" t="s">
        <v>2799</v>
      </c>
      <c r="D411" t="s">
        <v>6170</v>
      </c>
      <c r="E411" s="2">
        <v>3</v>
      </c>
      <c r="F411" s="2" t="str">
        <f>_xlfn.XLOOKUP(C411,customers!$A$1:$A$1001,customers!$B$1:$B$1001,,0)</f>
        <v>Hamish Skeech</v>
      </c>
      <c r="G411" s="2" t="str" cm="1">
        <f t="array" ref="G411">IF(_xlfn.XLOOKUP(C411,customers!A410:$A$1001,customers!C410:$C$1001,,0)=0,"",_xlfn.XLOOKUP(C411,customers!A410:$A$1001,customers!C410:$C$1001,,0))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2">
      <c r="A412" s="2" t="s">
        <v>2803</v>
      </c>
      <c r="B412" s="3">
        <v>44441</v>
      </c>
      <c r="C412" s="2" t="s">
        <v>2804</v>
      </c>
      <c r="D412" t="s">
        <v>6167</v>
      </c>
      <c r="E412" s="2">
        <v>4</v>
      </c>
      <c r="F412" s="2" t="str">
        <f>_xlfn.XLOOKUP(C412,customers!$A$1:$A$1001,customers!$B$1:$B$1001,,0)</f>
        <v>Giordano Lorenzin</v>
      </c>
      <c r="G412" s="2" t="str" cm="1">
        <f t="array" ref="G412">IF(_xlfn.XLOOKUP(C412,customers!A411:$A$1001,customers!C411:$C$1001,,0)=0,"",_xlfn.XLOOKUP(C412,customers!A411:$A$1001,customers!C411:$C$1001,,0))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2">
      <c r="A413" s="2" t="s">
        <v>2808</v>
      </c>
      <c r="B413" s="3">
        <v>44504</v>
      </c>
      <c r="C413" s="2" t="s">
        <v>2809</v>
      </c>
      <c r="D413" t="s">
        <v>6162</v>
      </c>
      <c r="E413" s="2">
        <v>6</v>
      </c>
      <c r="F413" s="2" t="str">
        <f>_xlfn.XLOOKUP(C413,customers!$A$1:$A$1001,customers!$B$1:$B$1001,,0)</f>
        <v>Harwilll Bishell</v>
      </c>
      <c r="G413" s="2" t="str" cm="1">
        <f t="array" ref="G413">IF(_xlfn.XLOOKUP(C413,customers!A412:$A$1001,customers!C412:$C$1001,,0)=0,"",_xlfn.XLOOKUP(C413,customers!A412:$A$1001,customers!C412:$C$1001,,0))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2">
      <c r="A414" s="2" t="s">
        <v>2813</v>
      </c>
      <c r="B414" s="3">
        <v>44410</v>
      </c>
      <c r="C414" s="2" t="s">
        <v>2814</v>
      </c>
      <c r="D414" t="s">
        <v>6155</v>
      </c>
      <c r="E414" s="2">
        <v>5</v>
      </c>
      <c r="F414" s="2" t="str">
        <f>_xlfn.XLOOKUP(C414,customers!$A$1:$A$1001,customers!$B$1:$B$1001,,0)</f>
        <v>Freeland Missenden</v>
      </c>
      <c r="G414" s="2" t="str" cm="1">
        <f t="array" ref="G414">IF(_xlfn.XLOOKUP(C414,customers!A413:$A$1001,customers!C413:$C$1001,,0)=0,"",_xlfn.XLOOKUP(C414,customers!A413:$A$1001,customers!C413:$C$1001,,0))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2">
      <c r="A415" s="2" t="s">
        <v>2818</v>
      </c>
      <c r="B415" s="3">
        <v>43857</v>
      </c>
      <c r="C415" s="2" t="s">
        <v>2819</v>
      </c>
      <c r="D415" t="s">
        <v>6164</v>
      </c>
      <c r="E415" s="2">
        <v>1</v>
      </c>
      <c r="F415" s="2" t="str">
        <f>_xlfn.XLOOKUP(C415,customers!$A$1:$A$1001,customers!$B$1:$B$1001,,0)</f>
        <v>Waylan Springall</v>
      </c>
      <c r="G415" s="2" t="str" cm="1">
        <f t="array" ref="G415">IF(_xlfn.XLOOKUP(C415,customers!A414:$A$1001,customers!C414:$C$1001,,0)=0,"",_xlfn.XLOOKUP(C415,customers!A414:$A$1001,customers!C414:$C$1001,,0))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2">
      <c r="A416" s="2" t="s">
        <v>2824</v>
      </c>
      <c r="B416" s="3">
        <v>43802</v>
      </c>
      <c r="C416" s="2" t="s">
        <v>2825</v>
      </c>
      <c r="D416" t="s">
        <v>6178</v>
      </c>
      <c r="E416" s="2">
        <v>3</v>
      </c>
      <c r="F416" s="2" t="str">
        <f>_xlfn.XLOOKUP(C416,customers!$A$1:$A$1001,customers!$B$1:$B$1001,,0)</f>
        <v>Kiri Avramow</v>
      </c>
      <c r="G416" s="2" t="str" cm="1">
        <f t="array" ref="G416">IF(_xlfn.XLOOKUP(C416,customers!A415:$A$1001,customers!C415:$C$1001,,0)=0,"",_xlfn.XLOOKUP(C416,customers!A415:$A$1001,customers!C415:$C$1001,,0))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2">
      <c r="A417" s="2" t="s">
        <v>2829</v>
      </c>
      <c r="B417" s="3">
        <v>43683</v>
      </c>
      <c r="C417" s="2" t="s">
        <v>2830</v>
      </c>
      <c r="D417" t="s">
        <v>6174</v>
      </c>
      <c r="E417" s="2">
        <v>3</v>
      </c>
      <c r="F417" s="2" t="str">
        <f>_xlfn.XLOOKUP(C417,customers!$A$1:$A$1001,customers!$B$1:$B$1001,,0)</f>
        <v>Gregg Hawkyens</v>
      </c>
      <c r="G417" s="2" t="str" cm="1">
        <f t="array" ref="G417">IF(_xlfn.XLOOKUP(C417,customers!A416:$A$1001,customers!C416:$C$1001,,0)=0,"",_xlfn.XLOOKUP(C417,customers!A416:$A$1001,customers!C416:$C$1001,,0))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2">
      <c r="A418" s="2" t="s">
        <v>2834</v>
      </c>
      <c r="B418" s="3">
        <v>43901</v>
      </c>
      <c r="C418" s="2" t="s">
        <v>2835</v>
      </c>
      <c r="D418" t="s">
        <v>6180</v>
      </c>
      <c r="E418" s="2">
        <v>3</v>
      </c>
      <c r="F418" s="2" t="str">
        <f>_xlfn.XLOOKUP(C418,customers!$A$1:$A$1001,customers!$B$1:$B$1001,,0)</f>
        <v>Reggis Pracy</v>
      </c>
      <c r="G418" s="2" t="str" cm="1">
        <f t="array" ref="G418">IF(_xlfn.XLOOKUP(C418,customers!A417:$A$1001,customers!C417:$C$1001,,0)=0,"",_xlfn.XLOOKUP(C418,customers!A417:$A$1001,customers!C417:$C$1001,,0))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2">
      <c r="A419" s="2" t="s">
        <v>2839</v>
      </c>
      <c r="B419" s="3">
        <v>44457</v>
      </c>
      <c r="C419" s="2" t="s">
        <v>2840</v>
      </c>
      <c r="D419" t="s">
        <v>6182</v>
      </c>
      <c r="E419" s="2">
        <v>1</v>
      </c>
      <c r="F419" s="2" t="str">
        <f>_xlfn.XLOOKUP(C419,customers!$A$1:$A$1001,customers!$B$1:$B$1001,,0)</f>
        <v>Paula Denis</v>
      </c>
      <c r="G419" s="2" t="str" cm="1">
        <f t="array" ref="G419">IF(_xlfn.XLOOKUP(C419,customers!A418:$A$1001,customers!C418:$C$1001,,0)=0,"",_xlfn.XLOOKUP(C419,customers!A418:$A$1001,customers!C418:$C$1001,,0))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2">
      <c r="A420" s="2" t="s">
        <v>2844</v>
      </c>
      <c r="B420" s="3">
        <v>44142</v>
      </c>
      <c r="C420" s="2" t="s">
        <v>2845</v>
      </c>
      <c r="D420" t="s">
        <v>6182</v>
      </c>
      <c r="E420" s="2">
        <v>5</v>
      </c>
      <c r="F420" s="2" t="str">
        <f>_xlfn.XLOOKUP(C420,customers!$A$1:$A$1001,customers!$B$1:$B$1001,,0)</f>
        <v>Broderick McGilvra</v>
      </c>
      <c r="G420" s="2" t="str" cm="1">
        <f t="array" ref="G420">IF(_xlfn.XLOOKUP(C420,customers!A419:$A$1001,customers!C419:$C$1001,,0)=0,"",_xlfn.XLOOKUP(C420,customers!A419:$A$1001,customers!C419:$C$1001,,0))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2">
      <c r="A421" s="2" t="s">
        <v>2849</v>
      </c>
      <c r="B421" s="3">
        <v>44739</v>
      </c>
      <c r="C421" s="2" t="s">
        <v>2850</v>
      </c>
      <c r="D421" t="s">
        <v>6160</v>
      </c>
      <c r="E421" s="2">
        <v>1</v>
      </c>
      <c r="F421" s="2" t="str">
        <f>_xlfn.XLOOKUP(C421,customers!$A$1:$A$1001,customers!$B$1:$B$1001,,0)</f>
        <v>Annabella Danzey</v>
      </c>
      <c r="G421" s="2" t="str" cm="1">
        <f t="array" ref="G421">IF(_xlfn.XLOOKUP(C421,customers!A420:$A$1001,customers!C420:$C$1001,,0)=0,"",_xlfn.XLOOKUP(C421,customers!A420:$A$1001,customers!C420:$C$1001,,0))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2">
      <c r="A422" s="2" t="s">
        <v>2855</v>
      </c>
      <c r="B422" s="3">
        <v>43866</v>
      </c>
      <c r="C422" s="2" t="s">
        <v>2586</v>
      </c>
      <c r="D422" t="s">
        <v>6169</v>
      </c>
      <c r="E422" s="2">
        <v>4</v>
      </c>
      <c r="F422" s="2" t="str">
        <f>_xlfn.XLOOKUP(C422,customers!$A$1:$A$1001,customers!$B$1:$B$1001,,0)</f>
        <v>Terri Farra</v>
      </c>
      <c r="G422" s="2" t="e" cm="1">
        <f t="array" ref="G422">IF(_xlfn.XLOOKUP(C422,customers!A421:$A$1001,customers!C421:$C$1001,,0)=0,"",_xlfn.XLOOKUP(C422,customers!A421:$A$1001,customers!C421:$C$1001,,0))</f>
        <v>#N/A</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2">
      <c r="A423" s="2" t="s">
        <v>2855</v>
      </c>
      <c r="B423" s="3">
        <v>43866</v>
      </c>
      <c r="C423" s="2" t="s">
        <v>2586</v>
      </c>
      <c r="D423" t="s">
        <v>6168</v>
      </c>
      <c r="E423" s="2">
        <v>6</v>
      </c>
      <c r="F423" s="2" t="str">
        <f>_xlfn.XLOOKUP(C423,customers!$A$1:$A$1001,customers!$B$1:$B$1001,,0)</f>
        <v>Terri Farra</v>
      </c>
      <c r="G423" s="2" t="e" cm="1">
        <f t="array" ref="G423">IF(_xlfn.XLOOKUP(C423,customers!A422:$A$1001,customers!C422:$C$1001,,0)=0,"",_xlfn.XLOOKUP(C423,customers!A422:$A$1001,customers!C422:$C$1001,,0))</f>
        <v>#N/A</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2">
      <c r="A424" s="2" t="s">
        <v>2866</v>
      </c>
      <c r="B424" s="3">
        <v>43868</v>
      </c>
      <c r="C424" s="2" t="s">
        <v>2867</v>
      </c>
      <c r="D424" t="s">
        <v>6158</v>
      </c>
      <c r="E424" s="2">
        <v>5</v>
      </c>
      <c r="F424" s="2" t="str">
        <f>_xlfn.XLOOKUP(C424,customers!$A$1:$A$1001,customers!$B$1:$B$1001,,0)</f>
        <v>Nevins Glowacz</v>
      </c>
      <c r="G424" s="2" t="str" cm="1">
        <f t="array" ref="G424">IF(_xlfn.XLOOKUP(C424,customers!A423:$A$1001,customers!C423:$C$1001,,0)=0,"",_xlfn.XLOOKUP(C424,customers!A423:$A$1001,customers!C423:$C$1001,,0))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2">
      <c r="A425" s="2" t="s">
        <v>2871</v>
      </c>
      <c r="B425" s="3">
        <v>44183</v>
      </c>
      <c r="C425" s="2" t="s">
        <v>2872</v>
      </c>
      <c r="D425" t="s">
        <v>6146</v>
      </c>
      <c r="E425" s="2">
        <v>3</v>
      </c>
      <c r="F425" s="2" t="str">
        <f>_xlfn.XLOOKUP(C425,customers!$A$1:$A$1001,customers!$B$1:$B$1001,,0)</f>
        <v>Adelice Isabell</v>
      </c>
      <c r="G425" s="2" t="str" cm="1">
        <f t="array" ref="G425">IF(_xlfn.XLOOKUP(C425,customers!A424:$A$1001,customers!C424:$C$1001,,0)=0,"",_xlfn.XLOOKUP(C425,customers!A424:$A$1001,customers!C424:$C$1001,,0))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2">
      <c r="A426" s="2" t="s">
        <v>2876</v>
      </c>
      <c r="B426" s="3">
        <v>44431</v>
      </c>
      <c r="C426" s="2" t="s">
        <v>2877</v>
      </c>
      <c r="D426" t="s">
        <v>6176</v>
      </c>
      <c r="E426" s="2">
        <v>3</v>
      </c>
      <c r="F426" s="2" t="str">
        <f>_xlfn.XLOOKUP(C426,customers!$A$1:$A$1001,customers!$B$1:$B$1001,,0)</f>
        <v>Yulma Dombrell</v>
      </c>
      <c r="G426" s="2" t="str" cm="1">
        <f t="array" ref="G426">IF(_xlfn.XLOOKUP(C426,customers!A425:$A$1001,customers!C425:$C$1001,,0)=0,"",_xlfn.XLOOKUP(C426,customers!A425:$A$1001,customers!C425:$C$1001,,0))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2">
      <c r="A427" s="2" t="s">
        <v>2882</v>
      </c>
      <c r="B427" s="3">
        <v>44428</v>
      </c>
      <c r="C427" s="2" t="s">
        <v>2883</v>
      </c>
      <c r="D427" t="s">
        <v>6177</v>
      </c>
      <c r="E427" s="2">
        <v>2</v>
      </c>
      <c r="F427" s="2" t="str">
        <f>_xlfn.XLOOKUP(C427,customers!$A$1:$A$1001,customers!$B$1:$B$1001,,0)</f>
        <v>Alric Darth</v>
      </c>
      <c r="G427" s="2" t="str" cm="1">
        <f t="array" ref="G427">IF(_xlfn.XLOOKUP(C427,customers!A426:$A$1001,customers!C426:$C$1001,,0)=0,"",_xlfn.XLOOKUP(C427,customers!A426:$A$1001,customers!C426:$C$1001,,0))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2">
      <c r="A428" s="2" t="s">
        <v>2888</v>
      </c>
      <c r="B428" s="3">
        <v>43556</v>
      </c>
      <c r="C428" s="2" t="s">
        <v>2889</v>
      </c>
      <c r="D428" t="s">
        <v>6178</v>
      </c>
      <c r="E428" s="2">
        <v>4</v>
      </c>
      <c r="F428" s="2" t="str">
        <f>_xlfn.XLOOKUP(C428,customers!$A$1:$A$1001,customers!$B$1:$B$1001,,0)</f>
        <v>Manuel Darrigoe</v>
      </c>
      <c r="G428" s="2" t="str" cm="1">
        <f t="array" ref="G428">IF(_xlfn.XLOOKUP(C428,customers!A427:$A$1001,customers!C427:$C$1001,,0)=0,"",_xlfn.XLOOKUP(C428,customers!A427:$A$1001,customers!C427:$C$1001,,0))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2">
      <c r="A429" s="2" t="s">
        <v>2894</v>
      </c>
      <c r="B429" s="3">
        <v>44224</v>
      </c>
      <c r="C429" s="2" t="s">
        <v>2895</v>
      </c>
      <c r="D429" t="s">
        <v>6175</v>
      </c>
      <c r="E429" s="2">
        <v>3</v>
      </c>
      <c r="F429" s="2" t="str">
        <f>_xlfn.XLOOKUP(C429,customers!$A$1:$A$1001,customers!$B$1:$B$1001,,0)</f>
        <v>Kynthia Berick</v>
      </c>
      <c r="G429" s="2" t="str" cm="1">
        <f t="array" ref="G429">IF(_xlfn.XLOOKUP(C429,customers!A428:$A$1001,customers!C428:$C$1001,,0)=0,"",_xlfn.XLOOKUP(C429,customers!A428:$A$1001,customers!C428:$C$1001,,0))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2">
      <c r="A430" s="2" t="s">
        <v>2899</v>
      </c>
      <c r="B430" s="3">
        <v>43759</v>
      </c>
      <c r="C430" s="2" t="s">
        <v>2900</v>
      </c>
      <c r="D430" t="s">
        <v>6179</v>
      </c>
      <c r="E430" s="2">
        <v>5</v>
      </c>
      <c r="F430" s="2" t="str">
        <f>_xlfn.XLOOKUP(C430,customers!$A$1:$A$1001,customers!$B$1:$B$1001,,0)</f>
        <v>Minetta Ackrill</v>
      </c>
      <c r="G430" s="2" t="str" cm="1">
        <f t="array" ref="G430">IF(_xlfn.XLOOKUP(C430,customers!A429:$A$1001,customers!C429:$C$1001,,0)=0,"",_xlfn.XLOOKUP(C430,customers!A429:$A$1001,customers!C429:$C$1001,,0))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2">
      <c r="A431" s="2" t="s">
        <v>2905</v>
      </c>
      <c r="B431" s="3">
        <v>44367</v>
      </c>
      <c r="C431" s="2" t="s">
        <v>2586</v>
      </c>
      <c r="D431" t="s">
        <v>6140</v>
      </c>
      <c r="E431" s="2">
        <v>6</v>
      </c>
      <c r="F431" s="2" t="str">
        <f>_xlfn.XLOOKUP(C431,customers!$A$1:$A$1001,customers!$B$1:$B$1001,,0)</f>
        <v>Terri Farra</v>
      </c>
      <c r="G431" s="2" t="e" cm="1">
        <f t="array" ref="G431">IF(_xlfn.XLOOKUP(C431,customers!A430:$A$1001,customers!C430:$C$1001,,0)=0,"",_xlfn.XLOOKUP(C431,customers!A430:$A$1001,customers!C430:$C$1001,,0))</f>
        <v>#N/A</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2">
      <c r="A432" s="2" t="s">
        <v>2911</v>
      </c>
      <c r="B432" s="3">
        <v>44504</v>
      </c>
      <c r="C432" s="2" t="s">
        <v>2912</v>
      </c>
      <c r="D432" t="s">
        <v>6163</v>
      </c>
      <c r="E432" s="2">
        <v>2</v>
      </c>
      <c r="F432" s="2" t="str">
        <f>_xlfn.XLOOKUP(C432,customers!$A$1:$A$1001,customers!$B$1:$B$1001,,0)</f>
        <v>Melosa Kippen</v>
      </c>
      <c r="G432" s="2" t="str" cm="1">
        <f t="array" ref="G432">IF(_xlfn.XLOOKUP(C432,customers!A431:$A$1001,customers!C431:$C$1001,,0)=0,"",_xlfn.XLOOKUP(C432,customers!A431:$A$1001,customers!C431:$C$1001,,0))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2">
      <c r="A433" s="2" t="s">
        <v>2917</v>
      </c>
      <c r="B433" s="3">
        <v>44291</v>
      </c>
      <c r="C433" s="2" t="s">
        <v>2918</v>
      </c>
      <c r="D433" t="s">
        <v>6185</v>
      </c>
      <c r="E433" s="2">
        <v>3</v>
      </c>
      <c r="F433" s="2" t="str">
        <f>_xlfn.XLOOKUP(C433,customers!$A$1:$A$1001,customers!$B$1:$B$1001,,0)</f>
        <v>Witty Ranson</v>
      </c>
      <c r="G433" s="2" t="str" cm="1">
        <f t="array" ref="G433">IF(_xlfn.XLOOKUP(C433,customers!A432:$A$1001,customers!C432:$C$1001,,0)=0,"",_xlfn.XLOOKUP(C433,customers!A432:$A$1001,customers!C432:$C$1001,,0))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2">
      <c r="A434" s="2" t="s">
        <v>2923</v>
      </c>
      <c r="B434" s="3">
        <v>43808</v>
      </c>
      <c r="C434" s="2" t="s">
        <v>2924</v>
      </c>
      <c r="D434" t="s">
        <v>6155</v>
      </c>
      <c r="E434" s="2">
        <v>2</v>
      </c>
      <c r="F434" s="2" t="str">
        <f>_xlfn.XLOOKUP(C434,customers!$A$1:$A$1001,customers!$B$1:$B$1001,,0)</f>
        <v>Rod Gowdie</v>
      </c>
      <c r="G434" s="2" t="str" cm="1">
        <f t="array" ref="G434">IF(_xlfn.XLOOKUP(C434,customers!A433:$A$1001,customers!C433:$C$1001,,0)=0,"",_xlfn.XLOOKUP(C434,customers!A433:$A$1001,customers!C433:$C$1001,,0))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2">
      <c r="A435" s="2" t="s">
        <v>2928</v>
      </c>
      <c r="B435" s="3">
        <v>44563</v>
      </c>
      <c r="C435" s="2" t="s">
        <v>2929</v>
      </c>
      <c r="D435" t="s">
        <v>6181</v>
      </c>
      <c r="E435" s="2">
        <v>6</v>
      </c>
      <c r="F435" s="2" t="str">
        <f>_xlfn.XLOOKUP(C435,customers!$A$1:$A$1001,customers!$B$1:$B$1001,,0)</f>
        <v>Lemuel Rignold</v>
      </c>
      <c r="G435" s="2" t="str" cm="1">
        <f t="array" ref="G435">IF(_xlfn.XLOOKUP(C435,customers!A434:$A$1001,customers!C434:$C$1001,,0)=0,"",_xlfn.XLOOKUP(C435,customers!A434:$A$1001,customers!C434:$C$1001,,0))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2">
      <c r="A436" s="2" t="s">
        <v>2934</v>
      </c>
      <c r="B436" s="3">
        <v>43807</v>
      </c>
      <c r="C436" s="2" t="s">
        <v>2935</v>
      </c>
      <c r="D436" t="s">
        <v>6155</v>
      </c>
      <c r="E436" s="2">
        <v>6</v>
      </c>
      <c r="F436" s="2" t="str">
        <f>_xlfn.XLOOKUP(C436,customers!$A$1:$A$1001,customers!$B$1:$B$1001,,0)</f>
        <v>Nevsa Fields</v>
      </c>
      <c r="G436" s="2" t="str" cm="1">
        <f t="array" ref="G436">IF(_xlfn.XLOOKUP(C436,customers!A435:$A$1001,customers!C435:$C$1001,,0)=0,"",_xlfn.XLOOKUP(C436,customers!A435:$A$1001,customers!C435:$C$1001,,0))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2">
      <c r="A437" s="2" t="s">
        <v>2939</v>
      </c>
      <c r="B437" s="3">
        <v>44528</v>
      </c>
      <c r="C437" s="2" t="s">
        <v>2940</v>
      </c>
      <c r="D437" t="s">
        <v>6139</v>
      </c>
      <c r="E437" s="2">
        <v>1</v>
      </c>
      <c r="F437" s="2" t="str">
        <f>_xlfn.XLOOKUP(C437,customers!$A$1:$A$1001,customers!$B$1:$B$1001,,0)</f>
        <v>Chance Rowthorn</v>
      </c>
      <c r="G437" s="2" t="str" cm="1">
        <f t="array" ref="G437">IF(_xlfn.XLOOKUP(C437,customers!A436:$A$1001,customers!C436:$C$1001,,0)=0,"",_xlfn.XLOOKUP(C437,customers!A436:$A$1001,customers!C436:$C$1001,,0))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2">
      <c r="A438" s="2" t="s">
        <v>2945</v>
      </c>
      <c r="B438" s="3">
        <v>44631</v>
      </c>
      <c r="C438" s="2" t="s">
        <v>2946</v>
      </c>
      <c r="D438" t="s">
        <v>6145</v>
      </c>
      <c r="E438" s="2">
        <v>2</v>
      </c>
      <c r="F438" s="2" t="str">
        <f>_xlfn.XLOOKUP(C438,customers!$A$1:$A$1001,customers!$B$1:$B$1001,,0)</f>
        <v>Orly Ryland</v>
      </c>
      <c r="G438" s="2" t="str" cm="1">
        <f t="array" ref="G438">IF(_xlfn.XLOOKUP(C438,customers!A437:$A$1001,customers!C437:$C$1001,,0)=0,"",_xlfn.XLOOKUP(C438,customers!A437:$A$1001,customers!C437:$C$1001,,0))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2">
      <c r="A439" s="2" t="s">
        <v>2951</v>
      </c>
      <c r="B439" s="3">
        <v>44213</v>
      </c>
      <c r="C439" s="2" t="s">
        <v>2952</v>
      </c>
      <c r="D439" t="s">
        <v>6165</v>
      </c>
      <c r="E439" s="2">
        <v>1</v>
      </c>
      <c r="F439" s="2" t="str">
        <f>_xlfn.XLOOKUP(C439,customers!$A$1:$A$1001,customers!$B$1:$B$1001,,0)</f>
        <v>Willabella Abramski</v>
      </c>
      <c r="G439" s="2" t="str" cm="1">
        <f t="array" ref="G439">IF(_xlfn.XLOOKUP(C439,customers!A438:$A$1001,customers!C438:$C$1001,,0)=0,"",_xlfn.XLOOKUP(C439,customers!A438:$A$1001,customers!C438:$C$1001,,0))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2">
      <c r="A440" s="2" t="s">
        <v>2956</v>
      </c>
      <c r="B440" s="3">
        <v>43483</v>
      </c>
      <c r="C440" s="2" t="s">
        <v>3042</v>
      </c>
      <c r="D440" t="s">
        <v>6169</v>
      </c>
      <c r="E440" s="2">
        <v>2</v>
      </c>
      <c r="F440" s="2" t="str">
        <f>_xlfn.XLOOKUP(C440,customers!$A$1:$A$1001,customers!$B$1:$B$1001,,0)</f>
        <v>Morgen Seson</v>
      </c>
      <c r="G440" s="2" t="str" cm="1">
        <f t="array" ref="G440">IF(_xlfn.XLOOKUP(C440,customers!A439:$A$1001,customers!C439:$C$1001,,0)=0,"",_xlfn.XLOOKUP(C440,customers!A439:$A$1001,customers!C439:$C$1001,,0))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2">
      <c r="A441" s="2" t="s">
        <v>2962</v>
      </c>
      <c r="B441" s="3">
        <v>43562</v>
      </c>
      <c r="C441" s="2" t="s">
        <v>2963</v>
      </c>
      <c r="D441" t="s">
        <v>6176</v>
      </c>
      <c r="E441" s="2">
        <v>4</v>
      </c>
      <c r="F441" s="2" t="str">
        <f>_xlfn.XLOOKUP(C441,customers!$A$1:$A$1001,customers!$B$1:$B$1001,,0)</f>
        <v>Chickie Ragless</v>
      </c>
      <c r="G441" s="2" t="str" cm="1">
        <f t="array" ref="G441">IF(_xlfn.XLOOKUP(C441,customers!A440:$A$1001,customers!C440:$C$1001,,0)=0,"",_xlfn.XLOOKUP(C441,customers!A440:$A$1001,customers!C440:$C$1001,,0))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2">
      <c r="A442" s="2" t="s">
        <v>2968</v>
      </c>
      <c r="B442" s="3">
        <v>44230</v>
      </c>
      <c r="C442" s="2" t="s">
        <v>2969</v>
      </c>
      <c r="D442" t="s">
        <v>6175</v>
      </c>
      <c r="E442" s="2">
        <v>4</v>
      </c>
      <c r="F442" s="2" t="str">
        <f>_xlfn.XLOOKUP(C442,customers!$A$1:$A$1001,customers!$B$1:$B$1001,,0)</f>
        <v>Freda Hollows</v>
      </c>
      <c r="G442" s="2" t="str" cm="1">
        <f t="array" ref="G442">IF(_xlfn.XLOOKUP(C442,customers!A441:$A$1001,customers!C441:$C$1001,,0)=0,"",_xlfn.XLOOKUP(C442,customers!A441:$A$1001,customers!C441:$C$1001,,0))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2">
      <c r="A443" s="2" t="s">
        <v>2974</v>
      </c>
      <c r="B443" s="3">
        <v>43573</v>
      </c>
      <c r="C443" s="2" t="s">
        <v>2975</v>
      </c>
      <c r="D443" t="s">
        <v>6183</v>
      </c>
      <c r="E443" s="2">
        <v>3</v>
      </c>
      <c r="F443" s="2" t="str">
        <f>_xlfn.XLOOKUP(C443,customers!$A$1:$A$1001,customers!$B$1:$B$1001,,0)</f>
        <v>Livy Lathleiff</v>
      </c>
      <c r="G443" s="2" t="str" cm="1">
        <f t="array" ref="G443">IF(_xlfn.XLOOKUP(C443,customers!A442:$A$1001,customers!C442:$C$1001,,0)=0,"",_xlfn.XLOOKUP(C443,customers!A442:$A$1001,customers!C442:$C$1001,,0))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2">
      <c r="A444" s="2" t="s">
        <v>2980</v>
      </c>
      <c r="B444" s="3">
        <v>44384</v>
      </c>
      <c r="C444" s="2" t="s">
        <v>2981</v>
      </c>
      <c r="D444" t="s">
        <v>6173</v>
      </c>
      <c r="E444" s="2">
        <v>5</v>
      </c>
      <c r="F444" s="2" t="str">
        <f>_xlfn.XLOOKUP(C444,customers!$A$1:$A$1001,customers!$B$1:$B$1001,,0)</f>
        <v>Koralle Heads</v>
      </c>
      <c r="G444" s="2" t="str" cm="1">
        <f t="array" ref="G444">IF(_xlfn.XLOOKUP(C444,customers!A443:$A$1001,customers!C443:$C$1001,,0)=0,"",_xlfn.XLOOKUP(C444,customers!A443:$A$1001,customers!C443:$C$1001,,0))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2">
      <c r="A445" s="2" t="s">
        <v>2986</v>
      </c>
      <c r="B445" s="3">
        <v>44250</v>
      </c>
      <c r="C445" s="2" t="s">
        <v>2987</v>
      </c>
      <c r="D445" t="s">
        <v>6184</v>
      </c>
      <c r="E445" s="2">
        <v>5</v>
      </c>
      <c r="F445" s="2" t="str">
        <f>_xlfn.XLOOKUP(C445,customers!$A$1:$A$1001,customers!$B$1:$B$1001,,0)</f>
        <v>Theo Bowne</v>
      </c>
      <c r="G445" s="2" t="str" cm="1">
        <f t="array" ref="G445">IF(_xlfn.XLOOKUP(C445,customers!A444:$A$1001,customers!C444:$C$1001,,0)=0,"",_xlfn.XLOOKUP(C445,customers!A444:$A$1001,customers!C444:$C$1001,,0))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2">
      <c r="A446" s="2" t="s">
        <v>2992</v>
      </c>
      <c r="B446" s="3">
        <v>44418</v>
      </c>
      <c r="C446" s="2" t="s">
        <v>2993</v>
      </c>
      <c r="D446" t="s">
        <v>6156</v>
      </c>
      <c r="E446" s="2">
        <v>6</v>
      </c>
      <c r="F446" s="2" t="str">
        <f>_xlfn.XLOOKUP(C446,customers!$A$1:$A$1001,customers!$B$1:$B$1001,,0)</f>
        <v>Rasia Jacquemard</v>
      </c>
      <c r="G446" s="2" t="str" cm="1">
        <f t="array" ref="G446">IF(_xlfn.XLOOKUP(C446,customers!A445:$A$1001,customers!C445:$C$1001,,0)=0,"",_xlfn.XLOOKUP(C446,customers!A445:$A$1001,customers!C445:$C$1001,,0))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2">
      <c r="A447" s="2" t="s">
        <v>2999</v>
      </c>
      <c r="B447" s="3">
        <v>43784</v>
      </c>
      <c r="C447" s="2" t="s">
        <v>3000</v>
      </c>
      <c r="D447" t="s">
        <v>6181</v>
      </c>
      <c r="E447" s="2">
        <v>2</v>
      </c>
      <c r="F447" s="2" t="str">
        <f>_xlfn.XLOOKUP(C447,customers!$A$1:$A$1001,customers!$B$1:$B$1001,,0)</f>
        <v>Kizzie Warman</v>
      </c>
      <c r="G447" s="2" t="str" cm="1">
        <f t="array" ref="G447">IF(_xlfn.XLOOKUP(C447,customers!A446:$A$1001,customers!C446:$C$1001,,0)=0,"",_xlfn.XLOOKUP(C447,customers!A446:$A$1001,customers!C446:$C$1001,,0))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2">
      <c r="A448" s="2" t="s">
        <v>3004</v>
      </c>
      <c r="B448" s="3">
        <v>43816</v>
      </c>
      <c r="C448" s="2" t="s">
        <v>3005</v>
      </c>
      <c r="D448" t="s">
        <v>6160</v>
      </c>
      <c r="E448" s="2">
        <v>1</v>
      </c>
      <c r="F448" s="2" t="str">
        <f>_xlfn.XLOOKUP(C448,customers!$A$1:$A$1001,customers!$B$1:$B$1001,,0)</f>
        <v>Wain Cholomin</v>
      </c>
      <c r="G448" s="2" t="str" cm="1">
        <f t="array" ref="G448">IF(_xlfn.XLOOKUP(C448,customers!A447:$A$1001,customers!C447:$C$1001,,0)=0,"",_xlfn.XLOOKUP(C448,customers!A447:$A$1001,customers!C447:$C$1001,,0))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2">
      <c r="A449" s="2" t="s">
        <v>3010</v>
      </c>
      <c r="B449" s="3">
        <v>43908</v>
      </c>
      <c r="C449" s="2" t="s">
        <v>3011</v>
      </c>
      <c r="D449" t="s">
        <v>6146</v>
      </c>
      <c r="E449" s="2">
        <v>3</v>
      </c>
      <c r="F449" s="2" t="str">
        <f>_xlfn.XLOOKUP(C449,customers!$A$1:$A$1001,customers!$B$1:$B$1001,,0)</f>
        <v>Arleen Braidman</v>
      </c>
      <c r="G449" s="2" t="str" cm="1">
        <f t="array" ref="G449">IF(_xlfn.XLOOKUP(C449,customers!A448:$A$1001,customers!C448:$C$1001,,0)=0,"",_xlfn.XLOOKUP(C449,customers!A448:$A$1001,customers!C448:$C$1001,,0))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2">
      <c r="A450" s="2" t="s">
        <v>3015</v>
      </c>
      <c r="B450" s="3">
        <v>44718</v>
      </c>
      <c r="C450" s="2" t="s">
        <v>3016</v>
      </c>
      <c r="D450" t="s">
        <v>6173</v>
      </c>
      <c r="E450" s="2">
        <v>1</v>
      </c>
      <c r="F450" s="2" t="str">
        <f>_xlfn.XLOOKUP(C450,customers!$A$1:$A$1001,customers!$B$1:$B$1001,,0)</f>
        <v>Pru Durban</v>
      </c>
      <c r="G450" s="2" t="str" cm="1">
        <f t="array" ref="G450">IF(_xlfn.XLOOKUP(C450,customers!A449:$A$1001,customers!C449:$C$1001,,0)=0,"",_xlfn.XLOOKUP(C450,customers!A449:$A$1001,customers!C449:$C$1001,,0))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2">
      <c r="A451" s="2" t="s">
        <v>3021</v>
      </c>
      <c r="B451" s="3">
        <v>44336</v>
      </c>
      <c r="C451" s="2" t="s">
        <v>3022</v>
      </c>
      <c r="D451" t="s">
        <v>6163</v>
      </c>
      <c r="E451" s="2">
        <v>2</v>
      </c>
      <c r="F451" s="2" t="str">
        <f>_xlfn.XLOOKUP(C451,customers!$A$1:$A$1001,customers!$B$1:$B$1001,,0)</f>
        <v>Antone Harrold</v>
      </c>
      <c r="G451" s="2" t="str" cm="1">
        <f t="array" ref="G451">IF(_xlfn.XLOOKUP(C451,customers!A450:$A$1001,customers!C450:$C$1001,,0)=0,"",_xlfn.XLOOKUP(C451,customers!A450:$A$1001,customers!C450:$C$1001,,0))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 "Robusta", IF(I451="Exc", "Excelsa", IF(I451="Ara", "Arabica", IF(I451="Lib", "Liberica", ""))))</f>
        <v>Robusta</v>
      </c>
      <c r="O451" t="str">
        <f t="shared" ref="O451:O514" si="23">IF(J451="M", "Medium", IF(J451="L", "Light", IF(J451="D", "Dark", "")))</f>
        <v>Dark</v>
      </c>
      <c r="P451" t="str">
        <f>_xlfn.XLOOKUP(Orders[[#This Row],[Customer ID]],customers!$A$1:$A$1001,customers!$I$1:$I$1001,,0)</f>
        <v>No</v>
      </c>
    </row>
    <row r="452" spans="1:16" x14ac:dyDescent="0.2">
      <c r="A452" s="2" t="s">
        <v>3027</v>
      </c>
      <c r="B452" s="3">
        <v>44207</v>
      </c>
      <c r="C452" s="2" t="s">
        <v>3028</v>
      </c>
      <c r="D452" t="s">
        <v>6145</v>
      </c>
      <c r="E452" s="2">
        <v>5</v>
      </c>
      <c r="F452" s="2" t="str">
        <f>_xlfn.XLOOKUP(C452,customers!$A$1:$A$1001,customers!$B$1:$B$1001,,0)</f>
        <v>Sim Pamphilon</v>
      </c>
      <c r="G452" s="2" t="str" cm="1">
        <f t="array" ref="G452">IF(_xlfn.XLOOKUP(C452,customers!A451:$A$1001,customers!C451:$C$1001,,0)=0,"",_xlfn.XLOOKUP(C452,customers!A451:$A$1001,customers!C451:$C$1001,,0))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2">
      <c r="A453" s="2" t="s">
        <v>3035</v>
      </c>
      <c r="B453" s="3">
        <v>43518</v>
      </c>
      <c r="C453" s="2" t="s">
        <v>3036</v>
      </c>
      <c r="D453" t="s">
        <v>6149</v>
      </c>
      <c r="E453" s="2">
        <v>2</v>
      </c>
      <c r="F453" s="2" t="str">
        <f>_xlfn.XLOOKUP(C453,customers!$A$1:$A$1001,customers!$B$1:$B$1001,,0)</f>
        <v>Mohandis Spurden</v>
      </c>
      <c r="G453" s="2" t="str" cm="1">
        <f t="array" ref="G453">IF(_xlfn.XLOOKUP(C453,customers!A452:$A$1001,customers!C452:$C$1001,,0)=0,"",_xlfn.XLOOKUP(C453,customers!A452:$A$1001,customers!C452:$C$1001,,0))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2">
      <c r="A454" s="2" t="s">
        <v>3041</v>
      </c>
      <c r="B454" s="3">
        <v>44524</v>
      </c>
      <c r="C454" s="2" t="s">
        <v>3042</v>
      </c>
      <c r="D454" t="s">
        <v>6167</v>
      </c>
      <c r="E454" s="2">
        <v>3</v>
      </c>
      <c r="F454" s="2" t="str">
        <f>_xlfn.XLOOKUP(C454,customers!$A$1:$A$1001,customers!$B$1:$B$1001,,0)</f>
        <v>Morgen Seson</v>
      </c>
      <c r="G454" s="2" t="str" cm="1">
        <f t="array" ref="G454">IF(_xlfn.XLOOKUP(C454,customers!A453:$A$1001,customers!C453:$C$1001,,0)=0,"",_xlfn.XLOOKUP(C454,customers!A453:$A$1001,customers!C453:$C$1001,,0))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2">
      <c r="A455" s="2" t="s">
        <v>3047</v>
      </c>
      <c r="B455" s="3">
        <v>44579</v>
      </c>
      <c r="C455" s="2" t="s">
        <v>3048</v>
      </c>
      <c r="D455" t="s">
        <v>6161</v>
      </c>
      <c r="E455" s="2">
        <v>4</v>
      </c>
      <c r="F455" s="2" t="str">
        <f>_xlfn.XLOOKUP(C455,customers!$A$1:$A$1001,customers!$B$1:$B$1001,,0)</f>
        <v>Nalani Pirrone</v>
      </c>
      <c r="G455" s="2" t="str" cm="1">
        <f t="array" ref="G455">IF(_xlfn.XLOOKUP(C455,customers!A454:$A$1001,customers!C454:$C$1001,,0)=0,"",_xlfn.XLOOKUP(C455,customers!A454:$A$1001,customers!C454:$C$1001,,0))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2">
      <c r="A456" s="2" t="s">
        <v>3053</v>
      </c>
      <c r="B456" s="3">
        <v>44421</v>
      </c>
      <c r="C456" s="2" t="s">
        <v>3054</v>
      </c>
      <c r="D456" t="s">
        <v>6149</v>
      </c>
      <c r="E456" s="2">
        <v>4</v>
      </c>
      <c r="F456" s="2" t="str">
        <f>_xlfn.XLOOKUP(C456,customers!$A$1:$A$1001,customers!$B$1:$B$1001,,0)</f>
        <v>Reube Cawley</v>
      </c>
      <c r="G456" s="2" t="str" cm="1">
        <f t="array" ref="G456">IF(_xlfn.XLOOKUP(C456,customers!A455:$A$1001,customers!C455:$C$1001,,0)=0,"",_xlfn.XLOOKUP(C456,customers!A455:$A$1001,customers!C455:$C$1001,,0))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2">
      <c r="A457" s="2" t="s">
        <v>3058</v>
      </c>
      <c r="B457" s="3">
        <v>43841</v>
      </c>
      <c r="C457" s="2" t="s">
        <v>3059</v>
      </c>
      <c r="D457" t="s">
        <v>6145</v>
      </c>
      <c r="E457" s="2">
        <v>2</v>
      </c>
      <c r="F457" s="2" t="str">
        <f>_xlfn.XLOOKUP(C457,customers!$A$1:$A$1001,customers!$B$1:$B$1001,,0)</f>
        <v>Stan Barribal</v>
      </c>
      <c r="G457" s="2" t="str" cm="1">
        <f t="array" ref="G457">IF(_xlfn.XLOOKUP(C457,customers!A456:$A$1001,customers!C456:$C$1001,,0)=0,"",_xlfn.XLOOKUP(C457,customers!A456:$A$1001,customers!C456:$C$1001,,0))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2">
      <c r="A458" s="2" t="s">
        <v>3064</v>
      </c>
      <c r="B458" s="3">
        <v>44017</v>
      </c>
      <c r="C458" s="2" t="s">
        <v>3065</v>
      </c>
      <c r="D458" t="s">
        <v>6149</v>
      </c>
      <c r="E458" s="2">
        <v>2</v>
      </c>
      <c r="F458" s="2" t="str">
        <f>_xlfn.XLOOKUP(C458,customers!$A$1:$A$1001,customers!$B$1:$B$1001,,0)</f>
        <v>Agnes Adamides</v>
      </c>
      <c r="G458" s="2" t="str" cm="1">
        <f t="array" ref="G458">IF(_xlfn.XLOOKUP(C458,customers!A457:$A$1001,customers!C457:$C$1001,,0)=0,"",_xlfn.XLOOKUP(C458,customers!A457:$A$1001,customers!C457:$C$1001,,0))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2">
      <c r="A459" s="2" t="s">
        <v>3070</v>
      </c>
      <c r="B459" s="3">
        <v>43671</v>
      </c>
      <c r="C459" s="2" t="s">
        <v>3071</v>
      </c>
      <c r="D459" t="s">
        <v>6161</v>
      </c>
      <c r="E459" s="2">
        <v>5</v>
      </c>
      <c r="F459" s="2" t="str">
        <f>_xlfn.XLOOKUP(C459,customers!$A$1:$A$1001,customers!$B$1:$B$1001,,0)</f>
        <v>Carmelita Thowes</v>
      </c>
      <c r="G459" s="2" t="str" cm="1">
        <f t="array" ref="G459">IF(_xlfn.XLOOKUP(C459,customers!A458:$A$1001,customers!C458:$C$1001,,0)=0,"",_xlfn.XLOOKUP(C459,customers!A458:$A$1001,customers!C458:$C$1001,,0))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2">
      <c r="A460" s="2" t="s">
        <v>3076</v>
      </c>
      <c r="B460" s="3">
        <v>44707</v>
      </c>
      <c r="C460" s="2" t="s">
        <v>3077</v>
      </c>
      <c r="D460" t="s">
        <v>6155</v>
      </c>
      <c r="E460" s="2">
        <v>4</v>
      </c>
      <c r="F460" s="2" t="str">
        <f>_xlfn.XLOOKUP(C460,customers!$A$1:$A$1001,customers!$B$1:$B$1001,,0)</f>
        <v>Rodolfo Willoway</v>
      </c>
      <c r="G460" s="2" t="str" cm="1">
        <f t="array" ref="G460">IF(_xlfn.XLOOKUP(C460,customers!A459:$A$1001,customers!C459:$C$1001,,0)=0,"",_xlfn.XLOOKUP(C460,customers!A459:$A$1001,customers!C459:$C$1001,,0))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2">
      <c r="A461" s="2" t="s">
        <v>3082</v>
      </c>
      <c r="B461" s="3">
        <v>43840</v>
      </c>
      <c r="C461" s="2" t="s">
        <v>3083</v>
      </c>
      <c r="D461" t="s">
        <v>6145</v>
      </c>
      <c r="E461" s="2">
        <v>5</v>
      </c>
      <c r="F461" s="2" t="str">
        <f>_xlfn.XLOOKUP(C461,customers!$A$1:$A$1001,customers!$B$1:$B$1001,,0)</f>
        <v>Alvis Elwin</v>
      </c>
      <c r="G461" s="2" t="str" cm="1">
        <f t="array" ref="G461">IF(_xlfn.XLOOKUP(C461,customers!A460:$A$1001,customers!C460:$C$1001,,0)=0,"",_xlfn.XLOOKUP(C461,customers!A460:$A$1001,customers!C460:$C$1001,,0))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2">
      <c r="A462" s="2" t="s">
        <v>3088</v>
      </c>
      <c r="B462" s="3">
        <v>43602</v>
      </c>
      <c r="C462" s="2" t="s">
        <v>3089</v>
      </c>
      <c r="D462" t="s">
        <v>6172</v>
      </c>
      <c r="E462" s="2">
        <v>3</v>
      </c>
      <c r="F462" s="2" t="str">
        <f>_xlfn.XLOOKUP(C462,customers!$A$1:$A$1001,customers!$B$1:$B$1001,,0)</f>
        <v>Araldo Bilbrook</v>
      </c>
      <c r="G462" s="2" t="str" cm="1">
        <f t="array" ref="G462">IF(_xlfn.XLOOKUP(C462,customers!A461:$A$1001,customers!C461:$C$1001,,0)=0,"",_xlfn.XLOOKUP(C462,customers!A461:$A$1001,customers!C461:$C$1001,,0))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2">
      <c r="A463" s="2" t="s">
        <v>3094</v>
      </c>
      <c r="B463" s="3">
        <v>44036</v>
      </c>
      <c r="C463" s="2" t="s">
        <v>3095</v>
      </c>
      <c r="D463" t="s">
        <v>6163</v>
      </c>
      <c r="E463" s="2">
        <v>4</v>
      </c>
      <c r="F463" s="2" t="str">
        <f>_xlfn.XLOOKUP(C463,customers!$A$1:$A$1001,customers!$B$1:$B$1001,,0)</f>
        <v>Ransell McKall</v>
      </c>
      <c r="G463" s="2" t="str" cm="1">
        <f t="array" ref="G463">IF(_xlfn.XLOOKUP(C463,customers!A462:$A$1001,customers!C462:$C$1001,,0)=0,"",_xlfn.XLOOKUP(C463,customers!A462:$A$1001,customers!C462:$C$1001,,0))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2">
      <c r="A464" s="2" t="s">
        <v>3100</v>
      </c>
      <c r="B464" s="3">
        <v>44124</v>
      </c>
      <c r="C464" s="2" t="s">
        <v>3101</v>
      </c>
      <c r="D464" t="s">
        <v>6147</v>
      </c>
      <c r="E464" s="2">
        <v>5</v>
      </c>
      <c r="F464" s="2" t="str">
        <f>_xlfn.XLOOKUP(C464,customers!$A$1:$A$1001,customers!$B$1:$B$1001,,0)</f>
        <v>Borg Daile</v>
      </c>
      <c r="G464" s="2" t="str" cm="1">
        <f t="array" ref="G464">IF(_xlfn.XLOOKUP(C464,customers!A463:$A$1001,customers!C463:$C$1001,,0)=0,"",_xlfn.XLOOKUP(C464,customers!A463:$A$1001,customers!C463:$C$1001,,0))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2">
      <c r="A465" s="2" t="s">
        <v>3106</v>
      </c>
      <c r="B465" s="3">
        <v>43730</v>
      </c>
      <c r="C465" s="2" t="s">
        <v>3107</v>
      </c>
      <c r="D465" t="s">
        <v>6141</v>
      </c>
      <c r="E465" s="2">
        <v>2</v>
      </c>
      <c r="F465" s="2" t="str">
        <f>_xlfn.XLOOKUP(C465,customers!$A$1:$A$1001,customers!$B$1:$B$1001,,0)</f>
        <v>Adolphe Treherne</v>
      </c>
      <c r="G465" s="2" t="str" cm="1">
        <f t="array" ref="G465">IF(_xlfn.XLOOKUP(C465,customers!A464:$A$1001,customers!C464:$C$1001,,0)=0,"",_xlfn.XLOOKUP(C465,customers!A464:$A$1001,customers!C464:$C$1001,,0))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2">
      <c r="A466" s="2" t="s">
        <v>3112</v>
      </c>
      <c r="B466" s="3">
        <v>43989</v>
      </c>
      <c r="C466" s="2" t="s">
        <v>3113</v>
      </c>
      <c r="D466" t="s">
        <v>6165</v>
      </c>
      <c r="E466" s="2">
        <v>4</v>
      </c>
      <c r="F466" s="2" t="str">
        <f>_xlfn.XLOOKUP(C466,customers!$A$1:$A$1001,customers!$B$1:$B$1001,,0)</f>
        <v>Annetta Brentnall</v>
      </c>
      <c r="G466" s="2" t="str" cm="1">
        <f t="array" ref="G466">IF(_xlfn.XLOOKUP(C466,customers!A465:$A$1001,customers!C465:$C$1001,,0)=0,"",_xlfn.XLOOKUP(C466,customers!A465:$A$1001,customers!C465:$C$1001,,0))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2">
      <c r="A467" s="2" t="s">
        <v>3118</v>
      </c>
      <c r="B467" s="3">
        <v>43814</v>
      </c>
      <c r="C467" s="2" t="s">
        <v>3119</v>
      </c>
      <c r="D467" t="s">
        <v>6149</v>
      </c>
      <c r="E467" s="2">
        <v>1</v>
      </c>
      <c r="F467" s="2" t="str">
        <f>_xlfn.XLOOKUP(C467,customers!$A$1:$A$1001,customers!$B$1:$B$1001,,0)</f>
        <v>Dick Drinkall</v>
      </c>
      <c r="G467" s="2" t="str" cm="1">
        <f t="array" ref="G467">IF(_xlfn.XLOOKUP(C467,customers!A466:$A$1001,customers!C466:$C$1001,,0)=0,"",_xlfn.XLOOKUP(C467,customers!A466:$A$1001,customers!C466:$C$1001,,0))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2">
      <c r="A468" s="2" t="s">
        <v>3124</v>
      </c>
      <c r="B468" s="3">
        <v>44171</v>
      </c>
      <c r="C468" s="2" t="s">
        <v>3125</v>
      </c>
      <c r="D468" t="s">
        <v>6154</v>
      </c>
      <c r="E468" s="2">
        <v>3</v>
      </c>
      <c r="F468" s="2" t="str">
        <f>_xlfn.XLOOKUP(C468,customers!$A$1:$A$1001,customers!$B$1:$B$1001,,0)</f>
        <v>Dagny Kornel</v>
      </c>
      <c r="G468" s="2" t="str" cm="1">
        <f t="array" ref="G468">IF(_xlfn.XLOOKUP(C468,customers!A467:$A$1001,customers!C467:$C$1001,,0)=0,"",_xlfn.XLOOKUP(C468,customers!A467:$A$1001,customers!C467:$C$1001,,0))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2">
      <c r="A469" s="2" t="s">
        <v>3130</v>
      </c>
      <c r="B469" s="3">
        <v>44536</v>
      </c>
      <c r="C469" s="2" t="s">
        <v>3131</v>
      </c>
      <c r="D469" t="s">
        <v>6158</v>
      </c>
      <c r="E469" s="2">
        <v>1</v>
      </c>
      <c r="F469" s="2" t="str">
        <f>_xlfn.XLOOKUP(C469,customers!$A$1:$A$1001,customers!$B$1:$B$1001,,0)</f>
        <v>Rhona Lequeux</v>
      </c>
      <c r="G469" s="2" t="str" cm="1">
        <f t="array" ref="G469">IF(_xlfn.XLOOKUP(C469,customers!A468:$A$1001,customers!C468:$C$1001,,0)=0,"",_xlfn.XLOOKUP(C469,customers!A468:$A$1001,customers!C468:$C$1001,,0))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2">
      <c r="A470" s="2" t="s">
        <v>3136</v>
      </c>
      <c r="B470" s="3">
        <v>44023</v>
      </c>
      <c r="C470" s="2" t="s">
        <v>3137</v>
      </c>
      <c r="D470" t="s">
        <v>6141</v>
      </c>
      <c r="E470" s="2">
        <v>3</v>
      </c>
      <c r="F470" s="2" t="str">
        <f>_xlfn.XLOOKUP(C470,customers!$A$1:$A$1001,customers!$B$1:$B$1001,,0)</f>
        <v>Julius Mccaull</v>
      </c>
      <c r="G470" s="2" t="str" cm="1">
        <f t="array" ref="G470">IF(_xlfn.XLOOKUP(C470,customers!A469:$A$1001,customers!C469:$C$1001,,0)=0,"",_xlfn.XLOOKUP(C470,customers!A469:$A$1001,customers!C469:$C$1001,,0))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2">
      <c r="A471" s="2" t="s">
        <v>3141</v>
      </c>
      <c r="B471" s="3">
        <v>44375</v>
      </c>
      <c r="C471" s="2" t="s">
        <v>3194</v>
      </c>
      <c r="D471" t="s">
        <v>6184</v>
      </c>
      <c r="E471" s="2">
        <v>5</v>
      </c>
      <c r="F471" s="2" t="str">
        <f>_xlfn.XLOOKUP(C471,customers!$A$1:$A$1001,customers!$B$1:$B$1001,,0)</f>
        <v>Ailey Brash</v>
      </c>
      <c r="G471" s="2" t="str" cm="1">
        <f t="array" ref="G471">IF(_xlfn.XLOOKUP(C471,customers!A470:$A$1001,customers!C470:$C$1001,,0)=0,"",_xlfn.XLOOKUP(C471,customers!A470:$A$1001,customers!C470:$C$1001,,0))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2">
      <c r="A472" s="2" t="s">
        <v>3147</v>
      </c>
      <c r="B472" s="3">
        <v>44656</v>
      </c>
      <c r="C472" s="2" t="s">
        <v>3148</v>
      </c>
      <c r="D472" t="s">
        <v>6157</v>
      </c>
      <c r="E472" s="2">
        <v>1</v>
      </c>
      <c r="F472" s="2" t="str">
        <f>_xlfn.XLOOKUP(C472,customers!$A$1:$A$1001,customers!$B$1:$B$1001,,0)</f>
        <v>Alberto Hutchinson</v>
      </c>
      <c r="G472" s="2" t="str" cm="1">
        <f t="array" ref="G472">IF(_xlfn.XLOOKUP(C472,customers!A471:$A$1001,customers!C471:$C$1001,,0)=0,"",_xlfn.XLOOKUP(C472,customers!A471:$A$1001,customers!C471:$C$1001,,0))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2">
      <c r="A473" s="2" t="s">
        <v>3153</v>
      </c>
      <c r="B473" s="3">
        <v>44644</v>
      </c>
      <c r="C473" s="2" t="s">
        <v>3154</v>
      </c>
      <c r="D473" t="s">
        <v>6181</v>
      </c>
      <c r="E473" s="2">
        <v>4</v>
      </c>
      <c r="F473" s="2" t="str">
        <f>_xlfn.XLOOKUP(C473,customers!$A$1:$A$1001,customers!$B$1:$B$1001,,0)</f>
        <v>Lamond Gheeraert</v>
      </c>
      <c r="G473" s="2" t="str" cm="1">
        <f t="array" ref="G473">IF(_xlfn.XLOOKUP(C473,customers!A472:$A$1001,customers!C472:$C$1001,,0)=0,"",_xlfn.XLOOKUP(C473,customers!A472:$A$1001,customers!C472:$C$1001,,0))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2">
      <c r="A474" s="2" t="s">
        <v>3158</v>
      </c>
      <c r="B474" s="3">
        <v>43869</v>
      </c>
      <c r="C474" s="2" t="s">
        <v>3159</v>
      </c>
      <c r="D474" t="s">
        <v>6154</v>
      </c>
      <c r="E474" s="2">
        <v>2</v>
      </c>
      <c r="F474" s="2" t="str">
        <f>_xlfn.XLOOKUP(C474,customers!$A$1:$A$1001,customers!$B$1:$B$1001,,0)</f>
        <v>Roxine Drivers</v>
      </c>
      <c r="G474" s="2" t="str" cm="1">
        <f t="array" ref="G474">IF(_xlfn.XLOOKUP(C474,customers!A473:$A$1001,customers!C473:$C$1001,,0)=0,"",_xlfn.XLOOKUP(C474,customers!A473:$A$1001,customers!C473:$C$1001,,0))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2">
      <c r="A475" s="2" t="s">
        <v>3164</v>
      </c>
      <c r="B475" s="3">
        <v>44603</v>
      </c>
      <c r="C475" s="2" t="s">
        <v>3165</v>
      </c>
      <c r="D475" t="s">
        <v>6140</v>
      </c>
      <c r="E475" s="2">
        <v>2</v>
      </c>
      <c r="F475" s="2" t="str">
        <f>_xlfn.XLOOKUP(C475,customers!$A$1:$A$1001,customers!$B$1:$B$1001,,0)</f>
        <v>Heloise Zeal</v>
      </c>
      <c r="G475" s="2" t="str" cm="1">
        <f t="array" ref="G475">IF(_xlfn.XLOOKUP(C475,customers!A474:$A$1001,customers!C474:$C$1001,,0)=0,"",_xlfn.XLOOKUP(C475,customers!A474:$A$1001,customers!C474:$C$1001,,0))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2">
      <c r="A476" s="2" t="s">
        <v>3170</v>
      </c>
      <c r="B476" s="3">
        <v>44014</v>
      </c>
      <c r="C476" s="2" t="s">
        <v>3171</v>
      </c>
      <c r="D476" t="s">
        <v>6166</v>
      </c>
      <c r="E476" s="2">
        <v>1</v>
      </c>
      <c r="F476" s="2" t="str">
        <f>_xlfn.XLOOKUP(C476,customers!$A$1:$A$1001,customers!$B$1:$B$1001,,0)</f>
        <v>Granger Smallcombe</v>
      </c>
      <c r="G476" s="2" t="str" cm="1">
        <f t="array" ref="G476">IF(_xlfn.XLOOKUP(C476,customers!A475:$A$1001,customers!C475:$C$1001,,0)=0,"",_xlfn.XLOOKUP(C476,customers!A475:$A$1001,customers!C475:$C$1001,,0))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2">
      <c r="A477" s="2" t="s">
        <v>3176</v>
      </c>
      <c r="B477" s="3">
        <v>44767</v>
      </c>
      <c r="C477" s="2" t="s">
        <v>3177</v>
      </c>
      <c r="D477" t="s">
        <v>6159</v>
      </c>
      <c r="E477" s="2">
        <v>2</v>
      </c>
      <c r="F477" s="2" t="str">
        <f>_xlfn.XLOOKUP(C477,customers!$A$1:$A$1001,customers!$B$1:$B$1001,,0)</f>
        <v>Daryn Dibley</v>
      </c>
      <c r="G477" s="2" t="str" cm="1">
        <f t="array" ref="G477">IF(_xlfn.XLOOKUP(C477,customers!A476:$A$1001,customers!C476:$C$1001,,0)=0,"",_xlfn.XLOOKUP(C477,customers!A476:$A$1001,customers!C476:$C$1001,,0))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2">
      <c r="A478" s="2" t="s">
        <v>3181</v>
      </c>
      <c r="B478" s="3">
        <v>44274</v>
      </c>
      <c r="C478" s="2" t="s">
        <v>3182</v>
      </c>
      <c r="D478" t="s">
        <v>6184</v>
      </c>
      <c r="E478" s="2">
        <v>6</v>
      </c>
      <c r="F478" s="2" t="str">
        <f>_xlfn.XLOOKUP(C478,customers!$A$1:$A$1001,customers!$B$1:$B$1001,,0)</f>
        <v>Gardy Dimitriou</v>
      </c>
      <c r="G478" s="2" t="str" cm="1">
        <f t="array" ref="G478">IF(_xlfn.XLOOKUP(C478,customers!A477:$A$1001,customers!C477:$C$1001,,0)=0,"",_xlfn.XLOOKUP(C478,customers!A477:$A$1001,customers!C477:$C$1001,,0))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2">
      <c r="A479" s="2" t="s">
        <v>3187</v>
      </c>
      <c r="B479" s="3">
        <v>43962</v>
      </c>
      <c r="C479" s="2" t="s">
        <v>3188</v>
      </c>
      <c r="D479" t="s">
        <v>6159</v>
      </c>
      <c r="E479" s="2">
        <v>6</v>
      </c>
      <c r="F479" s="2" t="str">
        <f>_xlfn.XLOOKUP(C479,customers!$A$1:$A$1001,customers!$B$1:$B$1001,,0)</f>
        <v>Fanny Flanagan</v>
      </c>
      <c r="G479" s="2" t="str" cm="1">
        <f t="array" ref="G479">IF(_xlfn.XLOOKUP(C479,customers!A478:$A$1001,customers!C478:$C$1001,,0)=0,"",_xlfn.XLOOKUP(C479,customers!A478:$A$1001,customers!C478:$C$1001,,0))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2">
      <c r="A480" s="2" t="s">
        <v>3193</v>
      </c>
      <c r="B480" s="3">
        <v>43624</v>
      </c>
      <c r="C480" s="2" t="s">
        <v>3194</v>
      </c>
      <c r="D480" t="s">
        <v>6177</v>
      </c>
      <c r="E480" s="2">
        <v>6</v>
      </c>
      <c r="F480" s="2" t="str">
        <f>_xlfn.XLOOKUP(C480,customers!$A$1:$A$1001,customers!$B$1:$B$1001,,0)</f>
        <v>Ailey Brash</v>
      </c>
      <c r="G480" s="2" t="str" cm="1">
        <f t="array" ref="G480">IF(_xlfn.XLOOKUP(C480,customers!A479:$A$1001,customers!C479:$C$1001,,0)=0,"",_xlfn.XLOOKUP(C480,customers!A479:$A$1001,customers!C479:$C$1001,,0))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2">
      <c r="A481" s="2" t="s">
        <v>3193</v>
      </c>
      <c r="B481" s="3">
        <v>43624</v>
      </c>
      <c r="C481" s="2" t="s">
        <v>3194</v>
      </c>
      <c r="D481" t="s">
        <v>6166</v>
      </c>
      <c r="E481" s="2">
        <v>4</v>
      </c>
      <c r="F481" s="2" t="str">
        <f>_xlfn.XLOOKUP(C481,customers!$A$1:$A$1001,customers!$B$1:$B$1001,,0)</f>
        <v>Ailey Brash</v>
      </c>
      <c r="G481" s="2" t="str" cm="1">
        <f t="array" ref="G481">IF(_xlfn.XLOOKUP(C481,customers!A480:$A$1001,customers!C480:$C$1001,,0)=0,"",_xlfn.XLOOKUP(C481,customers!A480:$A$1001,customers!C480:$C$1001,,0))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2">
      <c r="A482" s="2" t="s">
        <v>3193</v>
      </c>
      <c r="B482" s="3">
        <v>43624</v>
      </c>
      <c r="C482" s="2" t="s">
        <v>3194</v>
      </c>
      <c r="D482" t="s">
        <v>6156</v>
      </c>
      <c r="E482" s="2">
        <v>1</v>
      </c>
      <c r="F482" s="2" t="str">
        <f>_xlfn.XLOOKUP(C482,customers!$A$1:$A$1001,customers!$B$1:$B$1001,,0)</f>
        <v>Ailey Brash</v>
      </c>
      <c r="G482" s="2" t="e" cm="1">
        <f t="array" ref="G482">IF(_xlfn.XLOOKUP(C482,customers!A481:$A$1001,customers!C481:$C$1001,,0)=0,"",_xlfn.XLOOKUP(C482,customers!A481:$A$1001,customers!C481:$C$1001,,0))</f>
        <v>#N/A</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2">
      <c r="A483" s="2" t="s">
        <v>3208</v>
      </c>
      <c r="B483" s="3">
        <v>43747</v>
      </c>
      <c r="C483" s="2" t="s">
        <v>3209</v>
      </c>
      <c r="D483" t="s">
        <v>6179</v>
      </c>
      <c r="E483" s="2">
        <v>2</v>
      </c>
      <c r="F483" s="2" t="str">
        <f>_xlfn.XLOOKUP(C483,customers!$A$1:$A$1001,customers!$B$1:$B$1001,,0)</f>
        <v>Nanny Izhakov</v>
      </c>
      <c r="G483" s="2" t="str" cm="1">
        <f t="array" ref="G483">IF(_xlfn.XLOOKUP(C483,customers!A482:$A$1001,customers!C482:$C$1001,,0)=0,"",_xlfn.XLOOKUP(C483,customers!A482:$A$1001,customers!C482:$C$1001,,0))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2">
      <c r="A484" s="2" t="s">
        <v>3214</v>
      </c>
      <c r="B484" s="3">
        <v>44247</v>
      </c>
      <c r="C484" s="2" t="s">
        <v>3215</v>
      </c>
      <c r="D484" t="s">
        <v>6185</v>
      </c>
      <c r="E484" s="2">
        <v>5</v>
      </c>
      <c r="F484" s="2" t="str">
        <f>_xlfn.XLOOKUP(C484,customers!$A$1:$A$1001,customers!$B$1:$B$1001,,0)</f>
        <v>Stanly Keets</v>
      </c>
      <c r="G484" s="2" t="str" cm="1">
        <f t="array" ref="G484">IF(_xlfn.XLOOKUP(C484,customers!A483:$A$1001,customers!C483:$C$1001,,0)=0,"",_xlfn.XLOOKUP(C484,customers!A483:$A$1001,customers!C483:$C$1001,,0))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2">
      <c r="A485" s="2" t="s">
        <v>3220</v>
      </c>
      <c r="B485" s="3">
        <v>43790</v>
      </c>
      <c r="C485" s="2" t="s">
        <v>3221</v>
      </c>
      <c r="D485" t="s">
        <v>6165</v>
      </c>
      <c r="E485" s="2">
        <v>2</v>
      </c>
      <c r="F485" s="2" t="str">
        <f>_xlfn.XLOOKUP(C485,customers!$A$1:$A$1001,customers!$B$1:$B$1001,,0)</f>
        <v>Orion Dyott</v>
      </c>
      <c r="G485" s="2" t="str" cm="1">
        <f t="array" ref="G485">IF(_xlfn.XLOOKUP(C485,customers!A484:$A$1001,customers!C484:$C$1001,,0)=0,"",_xlfn.XLOOKUP(C485,customers!A484:$A$1001,customers!C484:$C$1001,,0))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2">
      <c r="A486" s="2" t="s">
        <v>3225</v>
      </c>
      <c r="B486" s="3">
        <v>44479</v>
      </c>
      <c r="C486" s="2" t="s">
        <v>3226</v>
      </c>
      <c r="D486" t="s">
        <v>6161</v>
      </c>
      <c r="E486" s="2">
        <v>6</v>
      </c>
      <c r="F486" s="2" t="str">
        <f>_xlfn.XLOOKUP(C486,customers!$A$1:$A$1001,customers!$B$1:$B$1001,,0)</f>
        <v>Keefer Cake</v>
      </c>
      <c r="G486" s="2" t="str" cm="1">
        <f t="array" ref="G486">IF(_xlfn.XLOOKUP(C486,customers!A485:$A$1001,customers!C485:$C$1001,,0)=0,"",_xlfn.XLOOKUP(C486,customers!A485:$A$1001,customers!C485:$C$1001,,0))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2">
      <c r="A487" s="2" t="s">
        <v>3230</v>
      </c>
      <c r="B487" s="3">
        <v>44413</v>
      </c>
      <c r="C487" s="2" t="s">
        <v>3231</v>
      </c>
      <c r="D487" t="s">
        <v>6178</v>
      </c>
      <c r="E487" s="2">
        <v>6</v>
      </c>
      <c r="F487" s="2" t="str">
        <f>_xlfn.XLOOKUP(C487,customers!$A$1:$A$1001,customers!$B$1:$B$1001,,0)</f>
        <v>Morna Hansed</v>
      </c>
      <c r="G487" s="2" t="str" cm="1">
        <f t="array" ref="G487">IF(_xlfn.XLOOKUP(C487,customers!A486:$A$1001,customers!C486:$C$1001,,0)=0,"",_xlfn.XLOOKUP(C487,customers!A486:$A$1001,customers!C486:$C$1001,,0))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2">
      <c r="A488" s="2" t="s">
        <v>3236</v>
      </c>
      <c r="B488" s="3">
        <v>44043</v>
      </c>
      <c r="C488" s="2" t="s">
        <v>3237</v>
      </c>
      <c r="D488" t="s">
        <v>6160</v>
      </c>
      <c r="E488" s="2">
        <v>6</v>
      </c>
      <c r="F488" s="2" t="str">
        <f>_xlfn.XLOOKUP(C488,customers!$A$1:$A$1001,customers!$B$1:$B$1001,,0)</f>
        <v>Franny Kienlein</v>
      </c>
      <c r="G488" s="2" t="str" cm="1">
        <f t="array" ref="G488">IF(_xlfn.XLOOKUP(C488,customers!A487:$A$1001,customers!C487:$C$1001,,0)=0,"",_xlfn.XLOOKUP(C488,customers!A487:$A$1001,customers!C487:$C$1001,,0))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2">
      <c r="A489" s="2" t="s">
        <v>3242</v>
      </c>
      <c r="B489" s="3">
        <v>44093</v>
      </c>
      <c r="C489" s="2" t="s">
        <v>3243</v>
      </c>
      <c r="D489" t="s">
        <v>6183</v>
      </c>
      <c r="E489" s="2">
        <v>6</v>
      </c>
      <c r="F489" s="2" t="str">
        <f>_xlfn.XLOOKUP(C489,customers!$A$1:$A$1001,customers!$B$1:$B$1001,,0)</f>
        <v>Klarika Egglestone</v>
      </c>
      <c r="G489" s="2" t="str" cm="1">
        <f t="array" ref="G489">IF(_xlfn.XLOOKUP(C489,customers!A488:$A$1001,customers!C488:$C$1001,,0)=0,"",_xlfn.XLOOKUP(C489,customers!A488:$A$1001,customers!C488:$C$1001,,0))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2">
      <c r="A490" s="2" t="s">
        <v>3248</v>
      </c>
      <c r="B490" s="3">
        <v>43954</v>
      </c>
      <c r="C490" s="2" t="s">
        <v>3249</v>
      </c>
      <c r="D490" t="s">
        <v>6174</v>
      </c>
      <c r="E490" s="2">
        <v>5</v>
      </c>
      <c r="F490" s="2" t="str">
        <f>_xlfn.XLOOKUP(C490,customers!$A$1:$A$1001,customers!$B$1:$B$1001,,0)</f>
        <v>Becky Semkins</v>
      </c>
      <c r="G490" s="2" t="str" cm="1">
        <f t="array" ref="G490">IF(_xlfn.XLOOKUP(C490,customers!A489:$A$1001,customers!C489:$C$1001,,0)=0,"",_xlfn.XLOOKUP(C490,customers!A489:$A$1001,customers!C489:$C$1001,,0))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2">
      <c r="A491" s="2" t="s">
        <v>3254</v>
      </c>
      <c r="B491" s="3">
        <v>43654</v>
      </c>
      <c r="C491" s="2" t="s">
        <v>3255</v>
      </c>
      <c r="D491" t="s">
        <v>6170</v>
      </c>
      <c r="E491" s="2">
        <v>6</v>
      </c>
      <c r="F491" s="2" t="str">
        <f>_xlfn.XLOOKUP(C491,customers!$A$1:$A$1001,customers!$B$1:$B$1001,,0)</f>
        <v>Sean Lorenzetti</v>
      </c>
      <c r="G491" s="2" t="str" cm="1">
        <f t="array" ref="G491">IF(_xlfn.XLOOKUP(C491,customers!A490:$A$1001,customers!C490:$C$1001,,0)=0,"",_xlfn.XLOOKUP(C491,customers!A490:$A$1001,customers!C490:$C$1001,,0))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2">
      <c r="A492" s="2" t="s">
        <v>3260</v>
      </c>
      <c r="B492" s="3">
        <v>43764</v>
      </c>
      <c r="C492" s="2" t="s">
        <v>3261</v>
      </c>
      <c r="D492" t="s">
        <v>6169</v>
      </c>
      <c r="E492" s="2">
        <v>2</v>
      </c>
      <c r="F492" s="2" t="str">
        <f>_xlfn.XLOOKUP(C492,customers!$A$1:$A$1001,customers!$B$1:$B$1001,,0)</f>
        <v>Bob Giannazzi</v>
      </c>
      <c r="G492" s="2" t="str" cm="1">
        <f t="array" ref="G492">IF(_xlfn.XLOOKUP(C492,customers!A491:$A$1001,customers!C491:$C$1001,,0)=0,"",_xlfn.XLOOKUP(C492,customers!A491:$A$1001,customers!C491:$C$1001,,0))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2">
      <c r="A493" s="2" t="s">
        <v>3266</v>
      </c>
      <c r="B493" s="3">
        <v>44101</v>
      </c>
      <c r="C493" s="2" t="s">
        <v>3267</v>
      </c>
      <c r="D493" t="s">
        <v>6150</v>
      </c>
      <c r="E493" s="2">
        <v>6</v>
      </c>
      <c r="F493" s="2" t="str">
        <f>_xlfn.XLOOKUP(C493,customers!$A$1:$A$1001,customers!$B$1:$B$1001,,0)</f>
        <v>Kendra Backshell</v>
      </c>
      <c r="G493" s="2" t="str" cm="1">
        <f t="array" ref="G493">IF(_xlfn.XLOOKUP(C493,customers!A492:$A$1001,customers!C492:$C$1001,,0)=0,"",_xlfn.XLOOKUP(C493,customers!A492:$A$1001,customers!C492:$C$1001,,0))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2">
      <c r="A494" s="2" t="s">
        <v>3271</v>
      </c>
      <c r="B494" s="3">
        <v>44620</v>
      </c>
      <c r="C494" s="2" t="s">
        <v>3272</v>
      </c>
      <c r="D494" t="s">
        <v>6156</v>
      </c>
      <c r="E494" s="2">
        <v>1</v>
      </c>
      <c r="F494" s="2" t="str">
        <f>_xlfn.XLOOKUP(C494,customers!$A$1:$A$1001,customers!$B$1:$B$1001,,0)</f>
        <v>Uriah Lethbrig</v>
      </c>
      <c r="G494" s="2" t="str" cm="1">
        <f t="array" ref="G494">IF(_xlfn.XLOOKUP(C494,customers!A493:$A$1001,customers!C493:$C$1001,,0)=0,"",_xlfn.XLOOKUP(C494,customers!A493:$A$1001,customers!C493:$C$1001,,0))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2">
      <c r="A495" s="2" t="s">
        <v>3277</v>
      </c>
      <c r="B495" s="3">
        <v>44090</v>
      </c>
      <c r="C495" s="2" t="s">
        <v>3278</v>
      </c>
      <c r="D495" t="s">
        <v>6146</v>
      </c>
      <c r="E495" s="2">
        <v>6</v>
      </c>
      <c r="F495" s="2" t="str">
        <f>_xlfn.XLOOKUP(C495,customers!$A$1:$A$1001,customers!$B$1:$B$1001,,0)</f>
        <v>Sky Farnish</v>
      </c>
      <c r="G495" s="2" t="str" cm="1">
        <f t="array" ref="G495">IF(_xlfn.XLOOKUP(C495,customers!A494:$A$1001,customers!C494:$C$1001,,0)=0,"",_xlfn.XLOOKUP(C495,customers!A494:$A$1001,customers!C494:$C$1001,,0))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2">
      <c r="A496" s="2" t="s">
        <v>3283</v>
      </c>
      <c r="B496" s="3">
        <v>44132</v>
      </c>
      <c r="C496" s="2" t="s">
        <v>3284</v>
      </c>
      <c r="D496" t="s">
        <v>6170</v>
      </c>
      <c r="E496" s="2">
        <v>2</v>
      </c>
      <c r="F496" s="2" t="str">
        <f>_xlfn.XLOOKUP(C496,customers!$A$1:$A$1001,customers!$B$1:$B$1001,,0)</f>
        <v>Felicia Jecock</v>
      </c>
      <c r="G496" s="2" t="str" cm="1">
        <f t="array" ref="G496">IF(_xlfn.XLOOKUP(C496,customers!A495:$A$1001,customers!C495:$C$1001,,0)=0,"",_xlfn.XLOOKUP(C496,customers!A495:$A$1001,customers!C495:$C$1001,,0))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2">
      <c r="A497" s="2" t="s">
        <v>3289</v>
      </c>
      <c r="B497" s="3">
        <v>43710</v>
      </c>
      <c r="C497" s="2" t="s">
        <v>3290</v>
      </c>
      <c r="D497" t="s">
        <v>6170</v>
      </c>
      <c r="E497" s="2">
        <v>5</v>
      </c>
      <c r="F497" s="2" t="str">
        <f>_xlfn.XLOOKUP(C497,customers!$A$1:$A$1001,customers!$B$1:$B$1001,,0)</f>
        <v>Currey MacAllister</v>
      </c>
      <c r="G497" s="2" t="str" cm="1">
        <f t="array" ref="G497">IF(_xlfn.XLOOKUP(C497,customers!A496:$A$1001,customers!C496:$C$1001,,0)=0,"",_xlfn.XLOOKUP(C497,customers!A496:$A$1001,customers!C496:$C$1001,,0))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2">
      <c r="A498" s="2" t="s">
        <v>3294</v>
      </c>
      <c r="B498" s="3">
        <v>44438</v>
      </c>
      <c r="C498" s="2" t="s">
        <v>3295</v>
      </c>
      <c r="D498" t="s">
        <v>6153</v>
      </c>
      <c r="E498" s="2">
        <v>3</v>
      </c>
      <c r="F498" s="2" t="str">
        <f>_xlfn.XLOOKUP(C498,customers!$A$1:$A$1001,customers!$B$1:$B$1001,,0)</f>
        <v>Hamlen Pallister</v>
      </c>
      <c r="G498" s="2" t="str" cm="1">
        <f t="array" ref="G498">IF(_xlfn.XLOOKUP(C498,customers!A497:$A$1001,customers!C497:$C$1001,,0)=0,"",_xlfn.XLOOKUP(C498,customers!A497:$A$1001,customers!C497:$C$1001,,0))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2">
      <c r="A499" s="2" t="s">
        <v>3300</v>
      </c>
      <c r="B499" s="3">
        <v>44351</v>
      </c>
      <c r="C499" s="2" t="s">
        <v>3301</v>
      </c>
      <c r="D499" t="s">
        <v>6147</v>
      </c>
      <c r="E499" s="2">
        <v>4</v>
      </c>
      <c r="F499" s="2" t="str">
        <f>_xlfn.XLOOKUP(C499,customers!$A$1:$A$1001,customers!$B$1:$B$1001,,0)</f>
        <v>Chantal Mersh</v>
      </c>
      <c r="G499" s="2" t="str" cm="1">
        <f t="array" ref="G499">IF(_xlfn.XLOOKUP(C499,customers!A498:$A$1001,customers!C498:$C$1001,,0)=0,"",_xlfn.XLOOKUP(C499,customers!A498:$A$1001,customers!C498:$C$1001,,0))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2">
      <c r="A500" s="2" t="s">
        <v>3307</v>
      </c>
      <c r="B500" s="3">
        <v>44159</v>
      </c>
      <c r="C500" s="2" t="s">
        <v>3368</v>
      </c>
      <c r="D500" t="s">
        <v>6138</v>
      </c>
      <c r="E500" s="2">
        <v>5</v>
      </c>
      <c r="F500" s="2" t="str">
        <f>_xlfn.XLOOKUP(C500,customers!$A$1:$A$1001,customers!$B$1:$B$1001,,0)</f>
        <v>Marja Urion</v>
      </c>
      <c r="G500" s="2" t="str" cm="1">
        <f t="array" ref="G500">IF(_xlfn.XLOOKUP(C500,customers!A499:$A$1001,customers!C499:$C$1001,,0)=0,"",_xlfn.XLOOKUP(C500,customers!A499:$A$1001,customers!C499:$C$1001,,0))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2">
      <c r="A501" s="2" t="s">
        <v>3313</v>
      </c>
      <c r="B501" s="3">
        <v>44003</v>
      </c>
      <c r="C501" s="2" t="s">
        <v>3314</v>
      </c>
      <c r="D501" t="s">
        <v>6163</v>
      </c>
      <c r="E501" s="2">
        <v>3</v>
      </c>
      <c r="F501" s="2" t="str">
        <f>_xlfn.XLOOKUP(C501,customers!$A$1:$A$1001,customers!$B$1:$B$1001,,0)</f>
        <v>Malynda Purbrick</v>
      </c>
      <c r="G501" s="2" t="str" cm="1">
        <f t="array" ref="G501">IF(_xlfn.XLOOKUP(C501,customers!A500:$A$1001,customers!C500:$C$1001,,0)=0,"",_xlfn.XLOOKUP(C501,customers!A500:$A$1001,customers!C500:$C$1001,,0))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2">
      <c r="A502" s="2" t="s">
        <v>3318</v>
      </c>
      <c r="B502" s="3">
        <v>44025</v>
      </c>
      <c r="C502" s="2" t="s">
        <v>3319</v>
      </c>
      <c r="D502" t="s">
        <v>6179</v>
      </c>
      <c r="E502" s="2">
        <v>4</v>
      </c>
      <c r="F502" s="2" t="str">
        <f>_xlfn.XLOOKUP(C502,customers!$A$1:$A$1001,customers!$B$1:$B$1001,,0)</f>
        <v>Alf Housaman</v>
      </c>
      <c r="G502" s="2" t="str" cm="1">
        <f t="array" ref="G502">IF(_xlfn.XLOOKUP(C502,customers!A501:$A$1001,customers!C501:$C$1001,,0)=0,"",_xlfn.XLOOKUP(C502,customers!A501:$A$1001,customers!C501:$C$1001,,0))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2">
      <c r="A503" s="2" t="s">
        <v>3323</v>
      </c>
      <c r="B503" s="3">
        <v>43467</v>
      </c>
      <c r="C503" s="2" t="s">
        <v>3324</v>
      </c>
      <c r="D503" t="s">
        <v>6174</v>
      </c>
      <c r="E503" s="2">
        <v>4</v>
      </c>
      <c r="F503" s="2" t="str">
        <f>_xlfn.XLOOKUP(C503,customers!$A$1:$A$1001,customers!$B$1:$B$1001,,0)</f>
        <v>Gladi Ducker</v>
      </c>
      <c r="G503" s="2" t="str" cm="1">
        <f t="array" ref="G503">IF(_xlfn.XLOOKUP(C503,customers!A502:$A$1001,customers!C502:$C$1001,,0)=0,"",_xlfn.XLOOKUP(C503,customers!A502:$A$1001,customers!C502:$C$1001,,0))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2">
      <c r="A504" s="2" t="s">
        <v>3323</v>
      </c>
      <c r="B504" s="3">
        <v>43467</v>
      </c>
      <c r="C504" s="2" t="s">
        <v>3324</v>
      </c>
      <c r="D504" t="s">
        <v>6156</v>
      </c>
      <c r="E504" s="2">
        <v>4</v>
      </c>
      <c r="F504" s="2" t="str">
        <f>_xlfn.XLOOKUP(C504,customers!$A$1:$A$1001,customers!$B$1:$B$1001,,0)</f>
        <v>Gladi Ducker</v>
      </c>
      <c r="G504" s="2" t="str" cm="1">
        <f t="array" ref="G504">IF(_xlfn.XLOOKUP(C504,customers!A503:$A$1001,customers!C503:$C$1001,,0)=0,"",_xlfn.XLOOKUP(C504,customers!A503:$A$1001,customers!C503:$C$1001,,0))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2">
      <c r="A505" s="2" t="s">
        <v>3323</v>
      </c>
      <c r="B505" s="3">
        <v>43467</v>
      </c>
      <c r="C505" s="2" t="s">
        <v>3324</v>
      </c>
      <c r="D505" t="s">
        <v>6143</v>
      </c>
      <c r="E505" s="2">
        <v>4</v>
      </c>
      <c r="F505" s="2" t="str">
        <f>_xlfn.XLOOKUP(C505,customers!$A$1:$A$1001,customers!$B$1:$B$1001,,0)</f>
        <v>Gladi Ducker</v>
      </c>
      <c r="G505" s="2" t="e" cm="1">
        <f t="array" ref="G505">IF(_xlfn.XLOOKUP(C505,customers!A504:$A$1001,customers!C504:$C$1001,,0)=0,"",_xlfn.XLOOKUP(C505,customers!A504:$A$1001,customers!C504:$C$1001,,0))</f>
        <v>#N/A</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2">
      <c r="A506" s="2" t="s">
        <v>3323</v>
      </c>
      <c r="B506" s="3">
        <v>43467</v>
      </c>
      <c r="C506" s="2" t="s">
        <v>3324</v>
      </c>
      <c r="D506" t="s">
        <v>6145</v>
      </c>
      <c r="E506" s="2">
        <v>3</v>
      </c>
      <c r="F506" s="2" t="str">
        <f>_xlfn.XLOOKUP(C506,customers!$A$1:$A$1001,customers!$B$1:$B$1001,,0)</f>
        <v>Gladi Ducker</v>
      </c>
      <c r="G506" s="2" t="e" cm="1">
        <f t="array" ref="G506">IF(_xlfn.XLOOKUP(C506,customers!A505:$A$1001,customers!C505:$C$1001,,0)=0,"",_xlfn.XLOOKUP(C506,customers!A505:$A$1001,customers!C505:$C$1001,,0))</f>
        <v>#N/A</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2">
      <c r="A507" s="2" t="s">
        <v>3343</v>
      </c>
      <c r="B507" s="3">
        <v>44609</v>
      </c>
      <c r="C507" s="2" t="s">
        <v>3344</v>
      </c>
      <c r="D507" t="s">
        <v>6159</v>
      </c>
      <c r="E507" s="2">
        <v>6</v>
      </c>
      <c r="F507" s="2" t="str">
        <f>_xlfn.XLOOKUP(C507,customers!$A$1:$A$1001,customers!$B$1:$B$1001,,0)</f>
        <v>Wain Stearley</v>
      </c>
      <c r="G507" s="2" t="str" cm="1">
        <f t="array" ref="G507">IF(_xlfn.XLOOKUP(C507,customers!A506:$A$1001,customers!C506:$C$1001,,0)=0,"",_xlfn.XLOOKUP(C507,customers!A506:$A$1001,customers!C506:$C$1001,,0))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2">
      <c r="A508" s="2" t="s">
        <v>3349</v>
      </c>
      <c r="B508" s="3">
        <v>44184</v>
      </c>
      <c r="C508" s="2" t="s">
        <v>3350</v>
      </c>
      <c r="D508" t="s">
        <v>6140</v>
      </c>
      <c r="E508" s="2">
        <v>2</v>
      </c>
      <c r="F508" s="2" t="str">
        <f>_xlfn.XLOOKUP(C508,customers!$A$1:$A$1001,customers!$B$1:$B$1001,,0)</f>
        <v>Diane-marie Wincer</v>
      </c>
      <c r="G508" s="2" t="str" cm="1">
        <f t="array" ref="G508">IF(_xlfn.XLOOKUP(C508,customers!A507:$A$1001,customers!C507:$C$1001,,0)=0,"",_xlfn.XLOOKUP(C508,customers!A507:$A$1001,customers!C507:$C$1001,,0))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2">
      <c r="A509" s="2" t="s">
        <v>3355</v>
      </c>
      <c r="B509" s="3">
        <v>43516</v>
      </c>
      <c r="C509" s="2" t="s">
        <v>3356</v>
      </c>
      <c r="D509" t="s">
        <v>6182</v>
      </c>
      <c r="E509" s="2">
        <v>3</v>
      </c>
      <c r="F509" s="2" t="str">
        <f>_xlfn.XLOOKUP(C509,customers!$A$1:$A$1001,customers!$B$1:$B$1001,,0)</f>
        <v>Perry Lyfield</v>
      </c>
      <c r="G509" s="2" t="str" cm="1">
        <f t="array" ref="G509">IF(_xlfn.XLOOKUP(C509,customers!A508:$A$1001,customers!C508:$C$1001,,0)=0,"",_xlfn.XLOOKUP(C509,customers!A508:$A$1001,customers!C508:$C$1001,,0))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2">
      <c r="A510" s="2" t="s">
        <v>3361</v>
      </c>
      <c r="B510" s="3">
        <v>44210</v>
      </c>
      <c r="C510" s="2" t="s">
        <v>3362</v>
      </c>
      <c r="D510" t="s">
        <v>6169</v>
      </c>
      <c r="E510" s="2">
        <v>6</v>
      </c>
      <c r="F510" s="2" t="str">
        <f>_xlfn.XLOOKUP(C510,customers!$A$1:$A$1001,customers!$B$1:$B$1001,,0)</f>
        <v>Heall Perris</v>
      </c>
      <c r="G510" s="2" t="str" cm="1">
        <f t="array" ref="G510">IF(_xlfn.XLOOKUP(C510,customers!A509:$A$1001,customers!C509:$C$1001,,0)=0,"",_xlfn.XLOOKUP(C510,customers!A509:$A$1001,customers!C509:$C$1001,,0))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2">
      <c r="A511" s="2" t="s">
        <v>3367</v>
      </c>
      <c r="B511" s="3">
        <v>43785</v>
      </c>
      <c r="C511" s="2" t="s">
        <v>3368</v>
      </c>
      <c r="D511" t="s">
        <v>6147</v>
      </c>
      <c r="E511" s="2">
        <v>3</v>
      </c>
      <c r="F511" s="2" t="str">
        <f>_xlfn.XLOOKUP(C511,customers!$A$1:$A$1001,customers!$B$1:$B$1001,,0)</f>
        <v>Marja Urion</v>
      </c>
      <c r="G511" s="2" t="str" cm="1">
        <f t="array" ref="G511">IF(_xlfn.XLOOKUP(C511,customers!A510:$A$1001,customers!C510:$C$1001,,0)=0,"",_xlfn.XLOOKUP(C511,customers!A510:$A$1001,customers!C510:$C$1001,,0))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2">
      <c r="A512" s="2" t="s">
        <v>3373</v>
      </c>
      <c r="B512" s="3">
        <v>43803</v>
      </c>
      <c r="C512" s="2" t="s">
        <v>3374</v>
      </c>
      <c r="D512" t="s">
        <v>6178</v>
      </c>
      <c r="E512" s="2">
        <v>3</v>
      </c>
      <c r="F512" s="2" t="str">
        <f>_xlfn.XLOOKUP(C512,customers!$A$1:$A$1001,customers!$B$1:$B$1001,,0)</f>
        <v>Camellia Kid</v>
      </c>
      <c r="G512" s="2" t="str" cm="1">
        <f t="array" ref="G512">IF(_xlfn.XLOOKUP(C512,customers!A511:$A$1001,customers!C511:$C$1001,,0)=0,"",_xlfn.XLOOKUP(C512,customers!A511:$A$1001,customers!C511:$C$1001,,0))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2">
      <c r="A513" s="2" t="s">
        <v>3379</v>
      </c>
      <c r="B513" s="3">
        <v>44043</v>
      </c>
      <c r="C513" s="2" t="s">
        <v>3380</v>
      </c>
      <c r="D513" t="s">
        <v>6152</v>
      </c>
      <c r="E513" s="2">
        <v>4</v>
      </c>
      <c r="F513" s="2" t="str">
        <f>_xlfn.XLOOKUP(C513,customers!$A$1:$A$1001,customers!$B$1:$B$1001,,0)</f>
        <v>Carolann Beine</v>
      </c>
      <c r="G513" s="2" t="str" cm="1">
        <f t="array" ref="G513">IF(_xlfn.XLOOKUP(C513,customers!A512:$A$1001,customers!C512:$C$1001,,0)=0,"",_xlfn.XLOOKUP(C513,customers!A512:$A$1001,customers!C512:$C$1001,,0))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2">
      <c r="A514" s="2" t="s">
        <v>3385</v>
      </c>
      <c r="B514" s="3">
        <v>43535</v>
      </c>
      <c r="C514" s="2" t="s">
        <v>3386</v>
      </c>
      <c r="D514" t="s">
        <v>6170</v>
      </c>
      <c r="E514" s="2">
        <v>3</v>
      </c>
      <c r="F514" s="2" t="str">
        <f>_xlfn.XLOOKUP(C514,customers!$A$1:$A$1001,customers!$B$1:$B$1001,,0)</f>
        <v>Celia Bakeup</v>
      </c>
      <c r="G514" s="2" t="str" cm="1">
        <f t="array" ref="G514">IF(_xlfn.XLOOKUP(C514,customers!A513:$A$1001,customers!C513:$C$1001,,0)=0,"",_xlfn.XLOOKUP(C514,customers!A513:$A$1001,customers!C513:$C$1001,,0))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2">
      <c r="A515" s="2" t="s">
        <v>3391</v>
      </c>
      <c r="B515" s="3">
        <v>44691</v>
      </c>
      <c r="C515" s="2" t="s">
        <v>3392</v>
      </c>
      <c r="D515" t="s">
        <v>6170</v>
      </c>
      <c r="E515" s="2">
        <v>5</v>
      </c>
      <c r="F515" s="2" t="str">
        <f>_xlfn.XLOOKUP(C515,customers!$A$1:$A$1001,customers!$B$1:$B$1001,,0)</f>
        <v>Nataniel Helkin</v>
      </c>
      <c r="G515" s="2" t="str" cm="1">
        <f t="array" ref="G515">IF(_xlfn.XLOOKUP(C515,customers!A514:$A$1001,customers!C514:$C$1001,,0)=0,"",_xlfn.XLOOKUP(C515,customers!A514:$A$1001,customers!C514:$C$1001,,0))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 "Robusta", IF(I515="Exc", "Excelsa", IF(I515="Ara", "Arabica", IF(I515="Lib", "Liberica", ""))))</f>
        <v>Liberica</v>
      </c>
      <c r="O515" t="str">
        <f t="shared" ref="O515:O578" si="26">IF(J515="M", "Medium", IF(J515="L", "Light", IF(J515="D", "Dark", "")))</f>
        <v>Light</v>
      </c>
      <c r="P515" t="str">
        <f>_xlfn.XLOOKUP(Orders[[#This Row],[Customer ID]],customers!$A$1:$A$1001,customers!$I$1:$I$1001,,0)</f>
        <v>No</v>
      </c>
    </row>
    <row r="516" spans="1:16" x14ac:dyDescent="0.2">
      <c r="A516" s="2" t="s">
        <v>3396</v>
      </c>
      <c r="B516" s="3">
        <v>44555</v>
      </c>
      <c r="C516" s="2" t="s">
        <v>3397</v>
      </c>
      <c r="D516" t="s">
        <v>6159</v>
      </c>
      <c r="E516" s="2">
        <v>6</v>
      </c>
      <c r="F516" s="2" t="str">
        <f>_xlfn.XLOOKUP(C516,customers!$A$1:$A$1001,customers!$B$1:$B$1001,,0)</f>
        <v>Pippo Witherington</v>
      </c>
      <c r="G516" s="2" t="str" cm="1">
        <f t="array" ref="G516">IF(_xlfn.XLOOKUP(C516,customers!A515:$A$1001,customers!C515:$C$1001,,0)=0,"",_xlfn.XLOOKUP(C516,customers!A515:$A$1001,customers!C515:$C$1001,,0))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2">
      <c r="A517" s="2" t="s">
        <v>3402</v>
      </c>
      <c r="B517" s="3">
        <v>44673</v>
      </c>
      <c r="C517" s="2" t="s">
        <v>3403</v>
      </c>
      <c r="D517" t="s">
        <v>6173</v>
      </c>
      <c r="E517" s="2">
        <v>3</v>
      </c>
      <c r="F517" s="2" t="str">
        <f>_xlfn.XLOOKUP(C517,customers!$A$1:$A$1001,customers!$B$1:$B$1001,,0)</f>
        <v>Tildie Tilzey</v>
      </c>
      <c r="G517" s="2" t="str" cm="1">
        <f t="array" ref="G517">IF(_xlfn.XLOOKUP(C517,customers!A516:$A$1001,customers!C516:$C$1001,,0)=0,"",_xlfn.XLOOKUP(C517,customers!A516:$A$1001,customers!C516:$C$1001,,0))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2">
      <c r="A518" s="2" t="s">
        <v>3408</v>
      </c>
      <c r="B518" s="3">
        <v>44723</v>
      </c>
      <c r="C518" s="2" t="s">
        <v>3409</v>
      </c>
      <c r="D518" t="s">
        <v>6149</v>
      </c>
      <c r="E518" s="2">
        <v>5</v>
      </c>
      <c r="F518" s="2" t="str">
        <f>_xlfn.XLOOKUP(C518,customers!$A$1:$A$1001,customers!$B$1:$B$1001,,0)</f>
        <v>Cindra Burling</v>
      </c>
      <c r="G518" s="2" t="str" cm="1">
        <f t="array" ref="G518">IF(_xlfn.XLOOKUP(C518,customers!A517:$A$1001,customers!C517:$C$1001,,0)=0,"",_xlfn.XLOOKUP(C518,customers!A517:$A$1001,customers!C517:$C$1001,,0))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2">
      <c r="A519" s="2" t="s">
        <v>3413</v>
      </c>
      <c r="B519" s="3">
        <v>44678</v>
      </c>
      <c r="C519" s="2" t="s">
        <v>3414</v>
      </c>
      <c r="D519" t="s">
        <v>6150</v>
      </c>
      <c r="E519" s="2">
        <v>2</v>
      </c>
      <c r="F519" s="2" t="str">
        <f>_xlfn.XLOOKUP(C519,customers!$A$1:$A$1001,customers!$B$1:$B$1001,,0)</f>
        <v>Channa Belamy</v>
      </c>
      <c r="G519" s="2" t="str" cm="1">
        <f t="array" ref="G519">IF(_xlfn.XLOOKUP(C519,customers!A518:$A$1001,customers!C518:$C$1001,,0)=0,"",_xlfn.XLOOKUP(C519,customers!A518:$A$1001,customers!C518:$C$1001,,0))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2">
      <c r="A520" s="2" t="s">
        <v>3418</v>
      </c>
      <c r="B520" s="3">
        <v>44194</v>
      </c>
      <c r="C520" s="2" t="s">
        <v>3419</v>
      </c>
      <c r="D520" t="s">
        <v>6185</v>
      </c>
      <c r="E520" s="2">
        <v>5</v>
      </c>
      <c r="F520" s="2" t="str">
        <f>_xlfn.XLOOKUP(C520,customers!$A$1:$A$1001,customers!$B$1:$B$1001,,0)</f>
        <v>Karl Imorts</v>
      </c>
      <c r="G520" s="2" t="str" cm="1">
        <f t="array" ref="G520">IF(_xlfn.XLOOKUP(C520,customers!A519:$A$1001,customers!C519:$C$1001,,0)=0,"",_xlfn.XLOOKUP(C520,customers!A519:$A$1001,customers!C519:$C$1001,,0))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2">
      <c r="A521" s="2" t="s">
        <v>3424</v>
      </c>
      <c r="B521" s="3">
        <v>44026</v>
      </c>
      <c r="C521" s="2" t="s">
        <v>3368</v>
      </c>
      <c r="D521" t="s">
        <v>6158</v>
      </c>
      <c r="E521" s="2">
        <v>2</v>
      </c>
      <c r="F521" s="2" t="str">
        <f>_xlfn.XLOOKUP(C521,customers!$A$1:$A$1001,customers!$B$1:$B$1001,,0)</f>
        <v>Marja Urion</v>
      </c>
      <c r="G521" s="2" t="e" cm="1">
        <f t="array" ref="G521">IF(_xlfn.XLOOKUP(C521,customers!A520:$A$1001,customers!C520:$C$1001,,0)=0,"",_xlfn.XLOOKUP(C521,customers!A520:$A$1001,customers!C520:$C$1001,,0))</f>
        <v>#N/A</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2">
      <c r="A522" s="2" t="s">
        <v>3430</v>
      </c>
      <c r="B522" s="3">
        <v>44446</v>
      </c>
      <c r="C522" s="2" t="s">
        <v>3431</v>
      </c>
      <c r="D522" t="s">
        <v>6150</v>
      </c>
      <c r="E522" s="2">
        <v>1</v>
      </c>
      <c r="F522" s="2" t="str">
        <f>_xlfn.XLOOKUP(C522,customers!$A$1:$A$1001,customers!$B$1:$B$1001,,0)</f>
        <v>Mag Armistead</v>
      </c>
      <c r="G522" s="2" t="str" cm="1">
        <f t="array" ref="G522">IF(_xlfn.XLOOKUP(C522,customers!A521:$A$1001,customers!C521:$C$1001,,0)=0,"",_xlfn.XLOOKUP(C522,customers!A521:$A$1001,customers!C521:$C$1001,,0))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2">
      <c r="A523" s="2" t="s">
        <v>3430</v>
      </c>
      <c r="B523" s="3">
        <v>44446</v>
      </c>
      <c r="C523" s="2" t="s">
        <v>3431</v>
      </c>
      <c r="D523" t="s">
        <v>6138</v>
      </c>
      <c r="E523" s="2">
        <v>4</v>
      </c>
      <c r="F523" s="2" t="str">
        <f>_xlfn.XLOOKUP(C523,customers!$A$1:$A$1001,customers!$B$1:$B$1001,,0)</f>
        <v>Mag Armistead</v>
      </c>
      <c r="G523" s="2" t="str" cm="1">
        <f t="array" ref="G523">IF(_xlfn.XLOOKUP(C523,customers!A522:$A$1001,customers!C522:$C$1001,,0)=0,"",_xlfn.XLOOKUP(C523,customers!A522:$A$1001,customers!C522:$C$1001,,0))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2">
      <c r="A524" s="2" t="s">
        <v>3441</v>
      </c>
      <c r="B524" s="3">
        <v>43625</v>
      </c>
      <c r="C524" s="2" t="s">
        <v>3442</v>
      </c>
      <c r="D524" t="s">
        <v>6146</v>
      </c>
      <c r="E524" s="2">
        <v>5</v>
      </c>
      <c r="F524" s="2" t="str">
        <f>_xlfn.XLOOKUP(C524,customers!$A$1:$A$1001,customers!$B$1:$B$1001,,0)</f>
        <v>Vasili Upstone</v>
      </c>
      <c r="G524" s="2" t="str" cm="1">
        <f t="array" ref="G524">IF(_xlfn.XLOOKUP(C524,customers!A523:$A$1001,customers!C523:$C$1001,,0)=0,"",_xlfn.XLOOKUP(C524,customers!A523:$A$1001,customers!C523:$C$1001,,0))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2">
      <c r="A525" s="2" t="s">
        <v>3447</v>
      </c>
      <c r="B525" s="3">
        <v>44129</v>
      </c>
      <c r="C525" s="2" t="s">
        <v>3448</v>
      </c>
      <c r="D525" t="s">
        <v>6165</v>
      </c>
      <c r="E525" s="2">
        <v>1</v>
      </c>
      <c r="F525" s="2" t="str">
        <f>_xlfn.XLOOKUP(C525,customers!$A$1:$A$1001,customers!$B$1:$B$1001,,0)</f>
        <v>Berty Beelby</v>
      </c>
      <c r="G525" s="2" t="str" cm="1">
        <f t="array" ref="G525">IF(_xlfn.XLOOKUP(C525,customers!A524:$A$1001,customers!C524:$C$1001,,0)=0,"",_xlfn.XLOOKUP(C525,customers!A524:$A$1001,customers!C524:$C$1001,,0))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2">
      <c r="A526" s="2" t="s">
        <v>3453</v>
      </c>
      <c r="B526" s="3">
        <v>44255</v>
      </c>
      <c r="C526" s="2" t="s">
        <v>3454</v>
      </c>
      <c r="D526" t="s">
        <v>6164</v>
      </c>
      <c r="E526" s="2">
        <v>2</v>
      </c>
      <c r="F526" s="2" t="str">
        <f>_xlfn.XLOOKUP(C526,customers!$A$1:$A$1001,customers!$B$1:$B$1001,,0)</f>
        <v>Erny Stenyng</v>
      </c>
      <c r="G526" s="2" t="str" cm="1">
        <f t="array" ref="G526">IF(_xlfn.XLOOKUP(C526,customers!A525:$A$1001,customers!C525:$C$1001,,0)=0,"",_xlfn.XLOOKUP(C526,customers!A525:$A$1001,customers!C525:$C$1001,,0))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2">
      <c r="A527" s="2" t="s">
        <v>3458</v>
      </c>
      <c r="B527" s="3">
        <v>44038</v>
      </c>
      <c r="C527" s="2" t="s">
        <v>3459</v>
      </c>
      <c r="D527" t="s">
        <v>6163</v>
      </c>
      <c r="E527" s="2">
        <v>5</v>
      </c>
      <c r="F527" s="2" t="str">
        <f>_xlfn.XLOOKUP(C527,customers!$A$1:$A$1001,customers!$B$1:$B$1001,,0)</f>
        <v>Edin Yantsurev</v>
      </c>
      <c r="G527" s="2" t="str" cm="1">
        <f t="array" ref="G527">IF(_xlfn.XLOOKUP(C527,customers!A526:$A$1001,customers!C526:$C$1001,,0)=0,"",_xlfn.XLOOKUP(C527,customers!A526:$A$1001,customers!C526:$C$1001,,0))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2">
      <c r="A528" s="2" t="s">
        <v>3463</v>
      </c>
      <c r="B528" s="3">
        <v>44717</v>
      </c>
      <c r="C528" s="2" t="s">
        <v>3464</v>
      </c>
      <c r="D528" t="s">
        <v>6166</v>
      </c>
      <c r="E528" s="2">
        <v>4</v>
      </c>
      <c r="F528" s="2" t="str">
        <f>_xlfn.XLOOKUP(C528,customers!$A$1:$A$1001,customers!$B$1:$B$1001,,0)</f>
        <v>Webb Speechly</v>
      </c>
      <c r="G528" s="2" t="str" cm="1">
        <f t="array" ref="G528">IF(_xlfn.XLOOKUP(C528,customers!A527:$A$1001,customers!C527:$C$1001,,0)=0,"",_xlfn.XLOOKUP(C528,customers!A527:$A$1001,customers!C527:$C$1001,,0))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2">
      <c r="A529" s="2" t="s">
        <v>3469</v>
      </c>
      <c r="B529" s="3">
        <v>43517</v>
      </c>
      <c r="C529" s="2" t="s">
        <v>3470</v>
      </c>
      <c r="D529" t="s">
        <v>6139</v>
      </c>
      <c r="E529" s="2">
        <v>5</v>
      </c>
      <c r="F529" s="2" t="str">
        <f>_xlfn.XLOOKUP(C529,customers!$A$1:$A$1001,customers!$B$1:$B$1001,,0)</f>
        <v>Irvine Phillpot</v>
      </c>
      <c r="G529" s="2" t="str" cm="1">
        <f t="array" ref="G529">IF(_xlfn.XLOOKUP(C529,customers!A528:$A$1001,customers!C528:$C$1001,,0)=0,"",_xlfn.XLOOKUP(C529,customers!A528:$A$1001,customers!C528:$C$1001,,0))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2">
      <c r="A530" s="2" t="s">
        <v>3475</v>
      </c>
      <c r="B530" s="3">
        <v>43926</v>
      </c>
      <c r="C530" s="2" t="s">
        <v>3476</v>
      </c>
      <c r="D530" t="s">
        <v>6176</v>
      </c>
      <c r="E530" s="2">
        <v>6</v>
      </c>
      <c r="F530" s="2" t="str">
        <f>_xlfn.XLOOKUP(C530,customers!$A$1:$A$1001,customers!$B$1:$B$1001,,0)</f>
        <v>Lem Pennacci</v>
      </c>
      <c r="G530" s="2" t="str" cm="1">
        <f t="array" ref="G530">IF(_xlfn.XLOOKUP(C530,customers!A529:$A$1001,customers!C529:$C$1001,,0)=0,"",_xlfn.XLOOKUP(C530,customers!A529:$A$1001,customers!C529:$C$1001,,0))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2">
      <c r="A531" s="2" t="s">
        <v>3481</v>
      </c>
      <c r="B531" s="3">
        <v>43475</v>
      </c>
      <c r="C531" s="2" t="s">
        <v>3482</v>
      </c>
      <c r="D531" t="s">
        <v>6138</v>
      </c>
      <c r="E531" s="2">
        <v>6</v>
      </c>
      <c r="F531" s="2" t="str">
        <f>_xlfn.XLOOKUP(C531,customers!$A$1:$A$1001,customers!$B$1:$B$1001,,0)</f>
        <v>Starr Arpin</v>
      </c>
      <c r="G531" s="2" t="str" cm="1">
        <f t="array" ref="G531">IF(_xlfn.XLOOKUP(C531,customers!A530:$A$1001,customers!C530:$C$1001,,0)=0,"",_xlfn.XLOOKUP(C531,customers!A530:$A$1001,customers!C530:$C$1001,,0))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2">
      <c r="A532" s="2" t="s">
        <v>3487</v>
      </c>
      <c r="B532" s="3">
        <v>44663</v>
      </c>
      <c r="C532" s="2" t="s">
        <v>3488</v>
      </c>
      <c r="D532" t="s">
        <v>6138</v>
      </c>
      <c r="E532" s="2">
        <v>6</v>
      </c>
      <c r="F532" s="2" t="str">
        <f>_xlfn.XLOOKUP(C532,customers!$A$1:$A$1001,customers!$B$1:$B$1001,,0)</f>
        <v>Donny Fries</v>
      </c>
      <c r="G532" s="2" t="str" cm="1">
        <f t="array" ref="G532">IF(_xlfn.XLOOKUP(C532,customers!A531:$A$1001,customers!C531:$C$1001,,0)=0,"",_xlfn.XLOOKUP(C532,customers!A531:$A$1001,customers!C531:$C$1001,,0))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2">
      <c r="A533" s="2" t="s">
        <v>3493</v>
      </c>
      <c r="B533" s="3">
        <v>44591</v>
      </c>
      <c r="C533" s="2" t="s">
        <v>3494</v>
      </c>
      <c r="D533" t="s">
        <v>6177</v>
      </c>
      <c r="E533" s="2">
        <v>5</v>
      </c>
      <c r="F533" s="2" t="str">
        <f>_xlfn.XLOOKUP(C533,customers!$A$1:$A$1001,customers!$B$1:$B$1001,,0)</f>
        <v>Rana Sharer</v>
      </c>
      <c r="G533" s="2" t="str" cm="1">
        <f t="array" ref="G533">IF(_xlfn.XLOOKUP(C533,customers!A532:$A$1001,customers!C532:$C$1001,,0)=0,"",_xlfn.XLOOKUP(C533,customers!A532:$A$1001,customers!C532:$C$1001,,0))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2">
      <c r="A534" s="2" t="s">
        <v>3499</v>
      </c>
      <c r="B534" s="3">
        <v>44330</v>
      </c>
      <c r="C534" s="2" t="s">
        <v>3500</v>
      </c>
      <c r="D534" t="s">
        <v>6139</v>
      </c>
      <c r="E534" s="2">
        <v>2</v>
      </c>
      <c r="F534" s="2" t="str">
        <f>_xlfn.XLOOKUP(C534,customers!$A$1:$A$1001,customers!$B$1:$B$1001,,0)</f>
        <v>Nannie Naseby</v>
      </c>
      <c r="G534" s="2" t="str" cm="1">
        <f t="array" ref="G534">IF(_xlfn.XLOOKUP(C534,customers!A533:$A$1001,customers!C533:$C$1001,,0)=0,"",_xlfn.XLOOKUP(C534,customers!A533:$A$1001,customers!C533:$C$1001,,0))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2">
      <c r="A535" s="2" t="s">
        <v>3505</v>
      </c>
      <c r="B535" s="3">
        <v>44724</v>
      </c>
      <c r="C535" s="2" t="s">
        <v>3506</v>
      </c>
      <c r="D535" t="s">
        <v>6172</v>
      </c>
      <c r="E535" s="2">
        <v>4</v>
      </c>
      <c r="F535" s="2" t="str">
        <f>_xlfn.XLOOKUP(C535,customers!$A$1:$A$1001,customers!$B$1:$B$1001,,0)</f>
        <v>Rea Offell</v>
      </c>
      <c r="G535" s="2" t="str" cm="1">
        <f t="array" ref="G535">IF(_xlfn.XLOOKUP(C535,customers!A534:$A$1001,customers!C534:$C$1001,,0)=0,"",_xlfn.XLOOKUP(C535,customers!A534:$A$1001,customers!C534:$C$1001,,0))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2">
      <c r="A536" s="2" t="s">
        <v>3510</v>
      </c>
      <c r="B536" s="3">
        <v>44563</v>
      </c>
      <c r="C536" s="2" t="s">
        <v>3511</v>
      </c>
      <c r="D536" t="s">
        <v>6151</v>
      </c>
      <c r="E536" s="2">
        <v>2</v>
      </c>
      <c r="F536" s="2" t="str">
        <f>_xlfn.XLOOKUP(C536,customers!$A$1:$A$1001,customers!$B$1:$B$1001,,0)</f>
        <v>Kris O'Cullen</v>
      </c>
      <c r="G536" s="2" t="str" cm="1">
        <f t="array" ref="G536">IF(_xlfn.XLOOKUP(C536,customers!A535:$A$1001,customers!C535:$C$1001,,0)=0,"",_xlfn.XLOOKUP(C536,customers!A535:$A$1001,customers!C535:$C$1001,,0))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2">
      <c r="A537" s="2" t="s">
        <v>3516</v>
      </c>
      <c r="B537" s="3">
        <v>44585</v>
      </c>
      <c r="C537" s="2" t="s">
        <v>3517</v>
      </c>
      <c r="D537" t="s">
        <v>6145</v>
      </c>
      <c r="E537" s="2">
        <v>2</v>
      </c>
      <c r="F537" s="2" t="str">
        <f>_xlfn.XLOOKUP(C537,customers!$A$1:$A$1001,customers!$B$1:$B$1001,,0)</f>
        <v>Timoteo Glisane</v>
      </c>
      <c r="G537" s="2" t="str" cm="1">
        <f t="array" ref="G537">IF(_xlfn.XLOOKUP(C537,customers!A536:$A$1001,customers!C536:$C$1001,,0)=0,"",_xlfn.XLOOKUP(C537,customers!A536:$A$1001,customers!C536:$C$1001,,0))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2">
      <c r="A538" s="2" t="s">
        <v>3521</v>
      </c>
      <c r="B538" s="3">
        <v>43544</v>
      </c>
      <c r="C538" s="2" t="s">
        <v>3368</v>
      </c>
      <c r="D538" t="s">
        <v>6163</v>
      </c>
      <c r="E538" s="2">
        <v>3</v>
      </c>
      <c r="F538" s="2" t="str">
        <f>_xlfn.XLOOKUP(C538,customers!$A$1:$A$1001,customers!$B$1:$B$1001,,0)</f>
        <v>Marja Urion</v>
      </c>
      <c r="G538" s="2" t="e" cm="1">
        <f t="array" ref="G538">IF(_xlfn.XLOOKUP(C538,customers!A537:$A$1001,customers!C537:$C$1001,,0)=0,"",_xlfn.XLOOKUP(C538,customers!A537:$A$1001,customers!C537:$C$1001,,0))</f>
        <v>#N/A</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2">
      <c r="A539" s="2" t="s">
        <v>3527</v>
      </c>
      <c r="B539" s="3">
        <v>44156</v>
      </c>
      <c r="C539" s="2" t="s">
        <v>3528</v>
      </c>
      <c r="D539" t="s">
        <v>6185</v>
      </c>
      <c r="E539" s="2">
        <v>4</v>
      </c>
      <c r="F539" s="2" t="str">
        <f>_xlfn.XLOOKUP(C539,customers!$A$1:$A$1001,customers!$B$1:$B$1001,,0)</f>
        <v>Hildegarde Brangan</v>
      </c>
      <c r="G539" s="2" t="str" cm="1">
        <f t="array" ref="G539">IF(_xlfn.XLOOKUP(C539,customers!A538:$A$1001,customers!C538:$C$1001,,0)=0,"",_xlfn.XLOOKUP(C539,customers!A538:$A$1001,customers!C538:$C$1001,,0))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2">
      <c r="A540" s="2" t="s">
        <v>3532</v>
      </c>
      <c r="B540" s="3">
        <v>44482</v>
      </c>
      <c r="C540" s="2" t="s">
        <v>3533</v>
      </c>
      <c r="D540" t="s">
        <v>6163</v>
      </c>
      <c r="E540" s="2">
        <v>4</v>
      </c>
      <c r="F540" s="2" t="str">
        <f>_xlfn.XLOOKUP(C540,customers!$A$1:$A$1001,customers!$B$1:$B$1001,,0)</f>
        <v>Amii Gallyon</v>
      </c>
      <c r="G540" s="2" t="str" cm="1">
        <f t="array" ref="G540">IF(_xlfn.XLOOKUP(C540,customers!A539:$A$1001,customers!C539:$C$1001,,0)=0,"",_xlfn.XLOOKUP(C540,customers!A539:$A$1001,customers!C539:$C$1001,,0))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2">
      <c r="A541" s="2" t="s">
        <v>3537</v>
      </c>
      <c r="B541" s="3">
        <v>44488</v>
      </c>
      <c r="C541" s="2" t="s">
        <v>3538</v>
      </c>
      <c r="D541" t="s">
        <v>6172</v>
      </c>
      <c r="E541" s="2">
        <v>5</v>
      </c>
      <c r="F541" s="2" t="str">
        <f>_xlfn.XLOOKUP(C541,customers!$A$1:$A$1001,customers!$B$1:$B$1001,,0)</f>
        <v>Birgit Domange</v>
      </c>
      <c r="G541" s="2" t="str" cm="1">
        <f t="array" ref="G541">IF(_xlfn.XLOOKUP(C541,customers!A540:$A$1001,customers!C540:$C$1001,,0)=0,"",_xlfn.XLOOKUP(C541,customers!A540:$A$1001,customers!C540:$C$1001,,0))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2">
      <c r="A542" s="2" t="s">
        <v>3542</v>
      </c>
      <c r="B542" s="3">
        <v>43584</v>
      </c>
      <c r="C542" s="2" t="s">
        <v>3543</v>
      </c>
      <c r="D542" t="s">
        <v>6170</v>
      </c>
      <c r="E542" s="2">
        <v>4</v>
      </c>
      <c r="F542" s="2" t="str">
        <f>_xlfn.XLOOKUP(C542,customers!$A$1:$A$1001,customers!$B$1:$B$1001,,0)</f>
        <v>Killian Osler</v>
      </c>
      <c r="G542" s="2" t="str" cm="1">
        <f t="array" ref="G542">IF(_xlfn.XLOOKUP(C542,customers!A541:$A$1001,customers!C541:$C$1001,,0)=0,"",_xlfn.XLOOKUP(C542,customers!A541:$A$1001,customers!C541:$C$1001,,0))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2">
      <c r="A543" s="2" t="s">
        <v>3548</v>
      </c>
      <c r="B543" s="3">
        <v>43750</v>
      </c>
      <c r="C543" s="2" t="s">
        <v>3549</v>
      </c>
      <c r="D543" t="s">
        <v>6168</v>
      </c>
      <c r="E543" s="2">
        <v>1</v>
      </c>
      <c r="F543" s="2" t="str">
        <f>_xlfn.XLOOKUP(C543,customers!$A$1:$A$1001,customers!$B$1:$B$1001,,0)</f>
        <v>Lora Dukes</v>
      </c>
      <c r="G543" s="2" t="str" cm="1">
        <f t="array" ref="G543">IF(_xlfn.XLOOKUP(C543,customers!A542:$A$1001,customers!C542:$C$1001,,0)=0,"",_xlfn.XLOOKUP(C543,customers!A542:$A$1001,customers!C542:$C$1001,,0))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2">
      <c r="A544" s="2" t="s">
        <v>3553</v>
      </c>
      <c r="B544" s="3">
        <v>44335</v>
      </c>
      <c r="C544" s="2" t="s">
        <v>3554</v>
      </c>
      <c r="D544" t="s">
        <v>6175</v>
      </c>
      <c r="E544" s="2">
        <v>4</v>
      </c>
      <c r="F544" s="2" t="str">
        <f>_xlfn.XLOOKUP(C544,customers!$A$1:$A$1001,customers!$B$1:$B$1001,,0)</f>
        <v>Zack Pellett</v>
      </c>
      <c r="G544" s="2" t="str" cm="1">
        <f t="array" ref="G544">IF(_xlfn.XLOOKUP(C544,customers!A543:$A$1001,customers!C543:$C$1001,,0)=0,"",_xlfn.XLOOKUP(C544,customers!A543:$A$1001,customers!C543:$C$1001,,0))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2">
      <c r="A545" s="2" t="s">
        <v>3559</v>
      </c>
      <c r="B545" s="3">
        <v>44380</v>
      </c>
      <c r="C545" s="2" t="s">
        <v>3560</v>
      </c>
      <c r="D545" t="s">
        <v>6142</v>
      </c>
      <c r="E545" s="2">
        <v>2</v>
      </c>
      <c r="F545" s="2" t="str">
        <f>_xlfn.XLOOKUP(C545,customers!$A$1:$A$1001,customers!$B$1:$B$1001,,0)</f>
        <v>Ilaire Sprakes</v>
      </c>
      <c r="G545" s="2" t="str" cm="1">
        <f t="array" ref="G545">IF(_xlfn.XLOOKUP(C545,customers!A544:$A$1001,customers!C544:$C$1001,,0)=0,"",_xlfn.XLOOKUP(C545,customers!A544:$A$1001,customers!C544:$C$1001,,0))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2">
      <c r="A546" s="2" t="s">
        <v>3565</v>
      </c>
      <c r="B546" s="3">
        <v>43869</v>
      </c>
      <c r="C546" s="2" t="s">
        <v>3566</v>
      </c>
      <c r="D546" t="s">
        <v>6180</v>
      </c>
      <c r="E546" s="2">
        <v>2</v>
      </c>
      <c r="F546" s="2" t="str">
        <f>_xlfn.XLOOKUP(C546,customers!$A$1:$A$1001,customers!$B$1:$B$1001,,0)</f>
        <v>Heda Fromant</v>
      </c>
      <c r="G546" s="2" t="str" cm="1">
        <f t="array" ref="G546">IF(_xlfn.XLOOKUP(C546,customers!A545:$A$1001,customers!C545:$C$1001,,0)=0,"",_xlfn.XLOOKUP(C546,customers!A545:$A$1001,customers!C545:$C$1001,,0))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2">
      <c r="A547" s="2" t="s">
        <v>3571</v>
      </c>
      <c r="B547" s="3">
        <v>44120</v>
      </c>
      <c r="C547" s="2" t="s">
        <v>3572</v>
      </c>
      <c r="D547" t="s">
        <v>6150</v>
      </c>
      <c r="E547" s="2">
        <v>4</v>
      </c>
      <c r="F547" s="2" t="str">
        <f>_xlfn.XLOOKUP(C547,customers!$A$1:$A$1001,customers!$B$1:$B$1001,,0)</f>
        <v>Rufus Flear</v>
      </c>
      <c r="G547" s="2" t="str" cm="1">
        <f t="array" ref="G547">IF(_xlfn.XLOOKUP(C547,customers!A546:$A$1001,customers!C546:$C$1001,,0)=0,"",_xlfn.XLOOKUP(C547,customers!A546:$A$1001,customers!C546:$C$1001,,0))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2">
      <c r="A548" s="2" t="s">
        <v>3577</v>
      </c>
      <c r="B548" s="3">
        <v>44127</v>
      </c>
      <c r="C548" s="2" t="s">
        <v>3578</v>
      </c>
      <c r="D548" t="s">
        <v>6185</v>
      </c>
      <c r="E548" s="2">
        <v>3</v>
      </c>
      <c r="F548" s="2" t="str">
        <f>_xlfn.XLOOKUP(C548,customers!$A$1:$A$1001,customers!$B$1:$B$1001,,0)</f>
        <v>Dom Milella</v>
      </c>
      <c r="G548" s="2" t="str" cm="1">
        <f t="array" ref="G548">IF(_xlfn.XLOOKUP(C548,customers!A547:$A$1001,customers!C547:$C$1001,,0)=0,"",_xlfn.XLOOKUP(C548,customers!A547:$A$1001,customers!C547:$C$1001,,0))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2">
      <c r="A549" s="2" t="s">
        <v>3582</v>
      </c>
      <c r="B549" s="3">
        <v>44265</v>
      </c>
      <c r="C549" s="2" t="s">
        <v>3594</v>
      </c>
      <c r="D549" t="s">
        <v>6178</v>
      </c>
      <c r="E549" s="2">
        <v>3</v>
      </c>
      <c r="F549" s="2" t="str">
        <f>_xlfn.XLOOKUP(C549,customers!$A$1:$A$1001,customers!$B$1:$B$1001,,0)</f>
        <v>Wilek Lightollers</v>
      </c>
      <c r="G549" s="2" t="str" cm="1">
        <f t="array" ref="G549">IF(_xlfn.XLOOKUP(C549,customers!A548:$A$1001,customers!C548:$C$1001,,0)=0,"",_xlfn.XLOOKUP(C549,customers!A548:$A$1001,customers!C548:$C$1001,,0))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2">
      <c r="A550" s="2" t="s">
        <v>3587</v>
      </c>
      <c r="B550" s="3">
        <v>44384</v>
      </c>
      <c r="C550" s="2" t="s">
        <v>3588</v>
      </c>
      <c r="D550" t="s">
        <v>6184</v>
      </c>
      <c r="E550" s="2">
        <v>3</v>
      </c>
      <c r="F550" s="2" t="str">
        <f>_xlfn.XLOOKUP(C550,customers!$A$1:$A$1001,customers!$B$1:$B$1001,,0)</f>
        <v>Bette-ann Munden</v>
      </c>
      <c r="G550" s="2" t="str" cm="1">
        <f t="array" ref="G550">IF(_xlfn.XLOOKUP(C550,customers!A549:$A$1001,customers!C549:$C$1001,,0)=0,"",_xlfn.XLOOKUP(C550,customers!A549:$A$1001,customers!C549:$C$1001,,0))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2">
      <c r="A551" s="2" t="s">
        <v>3593</v>
      </c>
      <c r="B551" s="3">
        <v>44232</v>
      </c>
      <c r="C551" s="2" t="s">
        <v>3594</v>
      </c>
      <c r="D551" t="s">
        <v>6184</v>
      </c>
      <c r="E551" s="2">
        <v>4</v>
      </c>
      <c r="F551" s="2" t="str">
        <f>_xlfn.XLOOKUP(C551,customers!$A$1:$A$1001,customers!$B$1:$B$1001,,0)</f>
        <v>Wilek Lightollers</v>
      </c>
      <c r="G551" s="2" t="str" cm="1">
        <f t="array" ref="G551">IF(_xlfn.XLOOKUP(C551,customers!A550:$A$1001,customers!C550:$C$1001,,0)=0,"",_xlfn.XLOOKUP(C551,customers!A550:$A$1001,customers!C550:$C$1001,,0))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2">
      <c r="A552" s="2" t="s">
        <v>3599</v>
      </c>
      <c r="B552" s="3">
        <v>44176</v>
      </c>
      <c r="C552" s="2" t="s">
        <v>3600</v>
      </c>
      <c r="D552" t="s">
        <v>6150</v>
      </c>
      <c r="E552" s="2">
        <v>6</v>
      </c>
      <c r="F552" s="2" t="str">
        <f>_xlfn.XLOOKUP(C552,customers!$A$1:$A$1001,customers!$B$1:$B$1001,,0)</f>
        <v>Nick Brakespear</v>
      </c>
      <c r="G552" s="2" t="str" cm="1">
        <f t="array" ref="G552">IF(_xlfn.XLOOKUP(C552,customers!A551:$A$1001,customers!C551:$C$1001,,0)=0,"",_xlfn.XLOOKUP(C552,customers!A551:$A$1001,customers!C551:$C$1001,,0))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2">
      <c r="A553" s="2" t="s">
        <v>3605</v>
      </c>
      <c r="B553" s="3">
        <v>44694</v>
      </c>
      <c r="C553" s="2" t="s">
        <v>3606</v>
      </c>
      <c r="D553" t="s">
        <v>6153</v>
      </c>
      <c r="E553" s="2">
        <v>2</v>
      </c>
      <c r="F553" s="2" t="str">
        <f>_xlfn.XLOOKUP(C553,customers!$A$1:$A$1001,customers!$B$1:$B$1001,,0)</f>
        <v>Malynda Glawsop</v>
      </c>
      <c r="G553" s="2" t="str" cm="1">
        <f t="array" ref="G553">IF(_xlfn.XLOOKUP(C553,customers!A552:$A$1001,customers!C552:$C$1001,,0)=0,"",_xlfn.XLOOKUP(C553,customers!A552:$A$1001,customers!C552:$C$1001,,0))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2">
      <c r="A554" s="2" t="s">
        <v>3611</v>
      </c>
      <c r="B554" s="3">
        <v>43761</v>
      </c>
      <c r="C554" s="2" t="s">
        <v>3612</v>
      </c>
      <c r="D554" t="s">
        <v>6184</v>
      </c>
      <c r="E554" s="2">
        <v>4</v>
      </c>
      <c r="F554" s="2" t="str">
        <f>_xlfn.XLOOKUP(C554,customers!$A$1:$A$1001,customers!$B$1:$B$1001,,0)</f>
        <v>Granville Alberts</v>
      </c>
      <c r="G554" s="2" t="str" cm="1">
        <f t="array" ref="G554">IF(_xlfn.XLOOKUP(C554,customers!A553:$A$1001,customers!C553:$C$1001,,0)=0,"",_xlfn.XLOOKUP(C554,customers!A553:$A$1001,customers!C553:$C$1001,,0))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2">
      <c r="A555" s="2" t="s">
        <v>3617</v>
      </c>
      <c r="B555" s="3">
        <v>44085</v>
      </c>
      <c r="C555" s="2" t="s">
        <v>3618</v>
      </c>
      <c r="D555" t="s">
        <v>6141</v>
      </c>
      <c r="E555" s="2">
        <v>5</v>
      </c>
      <c r="F555" s="2" t="str">
        <f>_xlfn.XLOOKUP(C555,customers!$A$1:$A$1001,customers!$B$1:$B$1001,,0)</f>
        <v>Vasily Polglase</v>
      </c>
      <c r="G555" s="2" t="str" cm="1">
        <f t="array" ref="G555">IF(_xlfn.XLOOKUP(C555,customers!A554:$A$1001,customers!C554:$C$1001,,0)=0,"",_xlfn.XLOOKUP(C555,customers!A554:$A$1001,customers!C554:$C$1001,,0))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2">
      <c r="A556" s="2" t="s">
        <v>3622</v>
      </c>
      <c r="B556" s="3">
        <v>43737</v>
      </c>
      <c r="C556" s="2" t="s">
        <v>3623</v>
      </c>
      <c r="D556" t="s">
        <v>6142</v>
      </c>
      <c r="E556" s="2">
        <v>2</v>
      </c>
      <c r="F556" s="2" t="str">
        <f>_xlfn.XLOOKUP(C556,customers!$A$1:$A$1001,customers!$B$1:$B$1001,,0)</f>
        <v>Madelaine Sharples</v>
      </c>
      <c r="G556" s="2" t="str" cm="1">
        <f t="array" ref="G556">IF(_xlfn.XLOOKUP(C556,customers!A555:$A$1001,customers!C555:$C$1001,,0)=0,"",_xlfn.XLOOKUP(C556,customers!A555:$A$1001,customers!C555:$C$1001,,0))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2">
      <c r="A557" s="2" t="s">
        <v>3627</v>
      </c>
      <c r="B557" s="3">
        <v>44258</v>
      </c>
      <c r="C557" s="2" t="s">
        <v>3628</v>
      </c>
      <c r="D557" t="s">
        <v>6141</v>
      </c>
      <c r="E557" s="2">
        <v>6</v>
      </c>
      <c r="F557" s="2" t="str">
        <f>_xlfn.XLOOKUP(C557,customers!$A$1:$A$1001,customers!$B$1:$B$1001,,0)</f>
        <v>Sigfrid Busch</v>
      </c>
      <c r="G557" s="2" t="str" cm="1">
        <f t="array" ref="G557">IF(_xlfn.XLOOKUP(C557,customers!A556:$A$1001,customers!C556:$C$1001,,0)=0,"",_xlfn.XLOOKUP(C557,customers!A556:$A$1001,customers!C556:$C$1001,,0))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2">
      <c r="A558" s="2" t="s">
        <v>3633</v>
      </c>
      <c r="B558" s="3">
        <v>44523</v>
      </c>
      <c r="C558" s="2" t="s">
        <v>3634</v>
      </c>
      <c r="D558" t="s">
        <v>6159</v>
      </c>
      <c r="E558" s="2">
        <v>2</v>
      </c>
      <c r="F558" s="2" t="str">
        <f>_xlfn.XLOOKUP(C558,customers!$A$1:$A$1001,customers!$B$1:$B$1001,,0)</f>
        <v>Cissiee Raisbeck</v>
      </c>
      <c r="G558" s="2" t="str" cm="1">
        <f t="array" ref="G558">IF(_xlfn.XLOOKUP(C558,customers!A557:$A$1001,customers!C557:$C$1001,,0)=0,"",_xlfn.XLOOKUP(C558,customers!A557:$A$1001,customers!C557:$C$1001,,0))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2">
      <c r="A559" s="2" t="s">
        <v>3638</v>
      </c>
      <c r="B559" s="3">
        <v>44506</v>
      </c>
      <c r="C559" s="2" t="s">
        <v>3368</v>
      </c>
      <c r="D559" t="s">
        <v>6171</v>
      </c>
      <c r="E559" s="2">
        <v>4</v>
      </c>
      <c r="F559" s="2" t="str">
        <f>_xlfn.XLOOKUP(C559,customers!$A$1:$A$1001,customers!$B$1:$B$1001,,0)</f>
        <v>Marja Urion</v>
      </c>
      <c r="G559" s="2" t="e" cm="1">
        <f t="array" ref="G559">IF(_xlfn.XLOOKUP(C559,customers!A558:$A$1001,customers!C558:$C$1001,,0)=0,"",_xlfn.XLOOKUP(C559,customers!A558:$A$1001,customers!C558:$C$1001,,0))</f>
        <v>#N/A</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2">
      <c r="A560" s="2" t="s">
        <v>3643</v>
      </c>
      <c r="B560" s="3">
        <v>44225</v>
      </c>
      <c r="C560" s="2" t="s">
        <v>3644</v>
      </c>
      <c r="D560" t="s">
        <v>6150</v>
      </c>
      <c r="E560" s="2">
        <v>4</v>
      </c>
      <c r="F560" s="2" t="str">
        <f>_xlfn.XLOOKUP(C560,customers!$A$1:$A$1001,customers!$B$1:$B$1001,,0)</f>
        <v>Kenton Wetherick</v>
      </c>
      <c r="G560" s="2" t="str" cm="1">
        <f t="array" ref="G560">IF(_xlfn.XLOOKUP(C560,customers!A559:$A$1001,customers!C559:$C$1001,,0)=0,"",_xlfn.XLOOKUP(C560,customers!A559:$A$1001,customers!C559:$C$1001,,0))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2">
      <c r="A561" s="2" t="s">
        <v>3648</v>
      </c>
      <c r="B561" s="3">
        <v>44667</v>
      </c>
      <c r="C561" s="2" t="s">
        <v>3649</v>
      </c>
      <c r="D561" t="s">
        <v>6140</v>
      </c>
      <c r="E561" s="2">
        <v>3</v>
      </c>
      <c r="F561" s="2" t="str">
        <f>_xlfn.XLOOKUP(C561,customers!$A$1:$A$1001,customers!$B$1:$B$1001,,0)</f>
        <v>Reamonn Aynold</v>
      </c>
      <c r="G561" s="2" t="str" cm="1">
        <f t="array" ref="G561">IF(_xlfn.XLOOKUP(C561,customers!A560:$A$1001,customers!C560:$C$1001,,0)=0,"",_xlfn.XLOOKUP(C561,customers!A560:$A$1001,customers!C560:$C$1001,,0))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2">
      <c r="A562" s="2" t="s">
        <v>3654</v>
      </c>
      <c r="B562" s="3">
        <v>44401</v>
      </c>
      <c r="C562" s="2" t="s">
        <v>3655</v>
      </c>
      <c r="D562" t="s">
        <v>6166</v>
      </c>
      <c r="E562" s="2">
        <v>6</v>
      </c>
      <c r="F562" s="2" t="str">
        <f>_xlfn.XLOOKUP(C562,customers!$A$1:$A$1001,customers!$B$1:$B$1001,,0)</f>
        <v>Hatty Dovydenas</v>
      </c>
      <c r="G562" s="2" t="str" cm="1">
        <f t="array" ref="G562">IF(_xlfn.XLOOKUP(C562,customers!A561:$A$1001,customers!C561:$C$1001,,0)=0,"",_xlfn.XLOOKUP(C562,customers!A561:$A$1001,customers!C561:$C$1001,,0))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2">
      <c r="A563" s="2" t="s">
        <v>3659</v>
      </c>
      <c r="B563" s="3">
        <v>43688</v>
      </c>
      <c r="C563" s="2" t="s">
        <v>3660</v>
      </c>
      <c r="D563" t="s">
        <v>6154</v>
      </c>
      <c r="E563" s="2">
        <v>6</v>
      </c>
      <c r="F563" s="2" t="str">
        <f>_xlfn.XLOOKUP(C563,customers!$A$1:$A$1001,customers!$B$1:$B$1001,,0)</f>
        <v>Nathaniel Bloxland</v>
      </c>
      <c r="G563" s="2" t="str" cm="1">
        <f t="array" ref="G563">IF(_xlfn.XLOOKUP(C563,customers!A562:$A$1001,customers!C562:$C$1001,,0)=0,"",_xlfn.XLOOKUP(C563,customers!A562:$A$1001,customers!C562:$C$1001,,0))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2">
      <c r="A564" s="2" t="s">
        <v>3665</v>
      </c>
      <c r="B564" s="3">
        <v>43669</v>
      </c>
      <c r="C564" s="2" t="s">
        <v>3666</v>
      </c>
      <c r="D564" t="s">
        <v>6145</v>
      </c>
      <c r="E564" s="2">
        <v>6</v>
      </c>
      <c r="F564" s="2" t="str">
        <f>_xlfn.XLOOKUP(C564,customers!$A$1:$A$1001,customers!$B$1:$B$1001,,0)</f>
        <v>Brendan Grece</v>
      </c>
      <c r="G564" s="2" t="str" cm="1">
        <f t="array" ref="G564">IF(_xlfn.XLOOKUP(C564,customers!A563:$A$1001,customers!C563:$C$1001,,0)=0,"",_xlfn.XLOOKUP(C564,customers!A563:$A$1001,customers!C563:$C$1001,,0))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2">
      <c r="A565" s="2" t="s">
        <v>3671</v>
      </c>
      <c r="B565" s="3">
        <v>43991</v>
      </c>
      <c r="C565" s="2" t="s">
        <v>3752</v>
      </c>
      <c r="D565" t="s">
        <v>6141</v>
      </c>
      <c r="E565" s="2">
        <v>6</v>
      </c>
      <c r="F565" s="2" t="str">
        <f>_xlfn.XLOOKUP(C565,customers!$A$1:$A$1001,customers!$B$1:$B$1001,,0)</f>
        <v>Don Flintiff</v>
      </c>
      <c r="G565" s="2" t="str" cm="1">
        <f t="array" ref="G565">IF(_xlfn.XLOOKUP(C565,customers!A564:$A$1001,customers!C564:$C$1001,,0)=0,"",_xlfn.XLOOKUP(C565,customers!A564:$A$1001,customers!C564:$C$1001,,0))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2">
      <c r="A566" s="2" t="s">
        <v>3677</v>
      </c>
      <c r="B566" s="3">
        <v>43883</v>
      </c>
      <c r="C566" s="2" t="s">
        <v>3678</v>
      </c>
      <c r="D566" t="s">
        <v>6173</v>
      </c>
      <c r="E566" s="2">
        <v>2</v>
      </c>
      <c r="F566" s="2" t="str">
        <f>_xlfn.XLOOKUP(C566,customers!$A$1:$A$1001,customers!$B$1:$B$1001,,0)</f>
        <v>Abbe Thys</v>
      </c>
      <c r="G566" s="2" t="str" cm="1">
        <f t="array" ref="G566">IF(_xlfn.XLOOKUP(C566,customers!A565:$A$1001,customers!C565:$C$1001,,0)=0,"",_xlfn.XLOOKUP(C566,customers!A565:$A$1001,customers!C565:$C$1001,,0))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2">
      <c r="A567" s="2" t="s">
        <v>3683</v>
      </c>
      <c r="B567" s="3">
        <v>44031</v>
      </c>
      <c r="C567" s="2" t="s">
        <v>3684</v>
      </c>
      <c r="D567" t="s">
        <v>6149</v>
      </c>
      <c r="E567" s="2">
        <v>4</v>
      </c>
      <c r="F567" s="2" t="str">
        <f>_xlfn.XLOOKUP(C567,customers!$A$1:$A$1001,customers!$B$1:$B$1001,,0)</f>
        <v>Jackquelin Chugg</v>
      </c>
      <c r="G567" s="2" t="str" cm="1">
        <f t="array" ref="G567">IF(_xlfn.XLOOKUP(C567,customers!A566:$A$1001,customers!C566:$C$1001,,0)=0,"",_xlfn.XLOOKUP(C567,customers!A566:$A$1001,customers!C566:$C$1001,,0))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2">
      <c r="A568" s="2" t="s">
        <v>3689</v>
      </c>
      <c r="B568" s="3">
        <v>44459</v>
      </c>
      <c r="C568" s="2" t="s">
        <v>3690</v>
      </c>
      <c r="D568" t="s">
        <v>6152</v>
      </c>
      <c r="E568" s="2">
        <v>6</v>
      </c>
      <c r="F568" s="2" t="str">
        <f>_xlfn.XLOOKUP(C568,customers!$A$1:$A$1001,customers!$B$1:$B$1001,,0)</f>
        <v>Audra Kelston</v>
      </c>
      <c r="G568" s="2" t="str" cm="1">
        <f t="array" ref="G568">IF(_xlfn.XLOOKUP(C568,customers!A567:$A$1001,customers!C567:$C$1001,,0)=0,"",_xlfn.XLOOKUP(C568,customers!A567:$A$1001,customers!C567:$C$1001,,0))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2">
      <c r="A569" s="2" t="s">
        <v>3695</v>
      </c>
      <c r="B569" s="3">
        <v>44318</v>
      </c>
      <c r="C569" s="2" t="s">
        <v>3696</v>
      </c>
      <c r="D569" t="s">
        <v>6142</v>
      </c>
      <c r="E569" s="2">
        <v>6</v>
      </c>
      <c r="F569" s="2" t="str">
        <f>_xlfn.XLOOKUP(C569,customers!$A$1:$A$1001,customers!$B$1:$B$1001,,0)</f>
        <v>Elvina Angel</v>
      </c>
      <c r="G569" s="2" t="str" cm="1">
        <f t="array" ref="G569">IF(_xlfn.XLOOKUP(C569,customers!A568:$A$1001,customers!C568:$C$1001,,0)=0,"",_xlfn.XLOOKUP(C569,customers!A568:$A$1001,customers!C568:$C$1001,,0))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2">
      <c r="A570" s="2" t="s">
        <v>3700</v>
      </c>
      <c r="B570" s="3">
        <v>44526</v>
      </c>
      <c r="C570" s="2" t="s">
        <v>3701</v>
      </c>
      <c r="D570" t="s">
        <v>6145</v>
      </c>
      <c r="E570" s="2">
        <v>4</v>
      </c>
      <c r="F570" s="2" t="str">
        <f>_xlfn.XLOOKUP(C570,customers!$A$1:$A$1001,customers!$B$1:$B$1001,,0)</f>
        <v>Claiborne Mottram</v>
      </c>
      <c r="G570" s="2" t="str" cm="1">
        <f t="array" ref="G570">IF(_xlfn.XLOOKUP(C570,customers!A569:$A$1001,customers!C569:$C$1001,,0)=0,"",_xlfn.XLOOKUP(C570,customers!A569:$A$1001,customers!C569:$C$1001,,0))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2">
      <c r="A571" s="2" t="s">
        <v>3706</v>
      </c>
      <c r="B571" s="3">
        <v>43879</v>
      </c>
      <c r="C571" s="2" t="s">
        <v>3752</v>
      </c>
      <c r="D571" t="s">
        <v>6168</v>
      </c>
      <c r="E571" s="2">
        <v>6</v>
      </c>
      <c r="F571" s="2" t="str">
        <f>_xlfn.XLOOKUP(C571,customers!$A$1:$A$1001,customers!$B$1:$B$1001,,0)</f>
        <v>Don Flintiff</v>
      </c>
      <c r="G571" s="2" t="str" cm="1">
        <f t="array" ref="G571">IF(_xlfn.XLOOKUP(C571,customers!A570:$A$1001,customers!C570:$C$1001,,0)=0,"",_xlfn.XLOOKUP(C571,customers!A570:$A$1001,customers!C570:$C$1001,,0))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2">
      <c r="A572" s="2" t="s">
        <v>3712</v>
      </c>
      <c r="B572" s="3">
        <v>43928</v>
      </c>
      <c r="C572" s="2" t="s">
        <v>3713</v>
      </c>
      <c r="D572" t="s">
        <v>6157</v>
      </c>
      <c r="E572" s="2">
        <v>4</v>
      </c>
      <c r="F572" s="2" t="str">
        <f>_xlfn.XLOOKUP(C572,customers!$A$1:$A$1001,customers!$B$1:$B$1001,,0)</f>
        <v>Donalt Sangwin</v>
      </c>
      <c r="G572" s="2" t="str" cm="1">
        <f t="array" ref="G572">IF(_xlfn.XLOOKUP(C572,customers!A571:$A$1001,customers!C571:$C$1001,,0)=0,"",_xlfn.XLOOKUP(C572,customers!A571:$A$1001,customers!C571:$C$1001,,0))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2">
      <c r="A573" s="2" t="s">
        <v>3718</v>
      </c>
      <c r="B573" s="3">
        <v>44592</v>
      </c>
      <c r="C573" s="2" t="s">
        <v>3719</v>
      </c>
      <c r="D573" t="s">
        <v>6176</v>
      </c>
      <c r="E573" s="2">
        <v>4</v>
      </c>
      <c r="F573" s="2" t="str">
        <f>_xlfn.XLOOKUP(C573,customers!$A$1:$A$1001,customers!$B$1:$B$1001,,0)</f>
        <v>Elizabet Aizikowitz</v>
      </c>
      <c r="G573" s="2" t="str" cm="1">
        <f t="array" ref="G573">IF(_xlfn.XLOOKUP(C573,customers!A572:$A$1001,customers!C572:$C$1001,,0)=0,"",_xlfn.XLOOKUP(C573,customers!A572:$A$1001,customers!C572:$C$1001,,0))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2">
      <c r="A574" s="2" t="s">
        <v>3724</v>
      </c>
      <c r="B574" s="3">
        <v>43515</v>
      </c>
      <c r="C574" s="2" t="s">
        <v>3725</v>
      </c>
      <c r="D574" t="s">
        <v>6154</v>
      </c>
      <c r="E574" s="2">
        <v>2</v>
      </c>
      <c r="F574" s="2" t="str">
        <f>_xlfn.XLOOKUP(C574,customers!$A$1:$A$1001,customers!$B$1:$B$1001,,0)</f>
        <v>Herbie Peppard</v>
      </c>
      <c r="G574" s="2" t="str" cm="1">
        <f t="array" ref="G574">IF(_xlfn.XLOOKUP(C574,customers!A573:$A$1001,customers!C573:$C$1001,,0)=0,"",_xlfn.XLOOKUP(C574,customers!A573:$A$1001,customers!C573:$C$1001,,0))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2">
      <c r="A575" s="2" t="s">
        <v>3728</v>
      </c>
      <c r="B575" s="3">
        <v>43781</v>
      </c>
      <c r="C575" s="2" t="s">
        <v>3729</v>
      </c>
      <c r="D575" t="s">
        <v>6155</v>
      </c>
      <c r="E575" s="2">
        <v>6</v>
      </c>
      <c r="F575" s="2" t="str">
        <f>_xlfn.XLOOKUP(C575,customers!$A$1:$A$1001,customers!$B$1:$B$1001,,0)</f>
        <v>Cornie Venour</v>
      </c>
      <c r="G575" s="2" t="str" cm="1">
        <f t="array" ref="G575">IF(_xlfn.XLOOKUP(C575,customers!A574:$A$1001,customers!C574:$C$1001,,0)=0,"",_xlfn.XLOOKUP(C575,customers!A574:$A$1001,customers!C574:$C$1001,,0))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2">
      <c r="A576" s="2" t="s">
        <v>3734</v>
      </c>
      <c r="B576" s="3">
        <v>44697</v>
      </c>
      <c r="C576" s="2" t="s">
        <v>3735</v>
      </c>
      <c r="D576" t="s">
        <v>6178</v>
      </c>
      <c r="E576" s="2">
        <v>6</v>
      </c>
      <c r="F576" s="2" t="str">
        <f>_xlfn.XLOOKUP(C576,customers!$A$1:$A$1001,customers!$B$1:$B$1001,,0)</f>
        <v>Maggy Harby</v>
      </c>
      <c r="G576" s="2" t="str" cm="1">
        <f t="array" ref="G576">IF(_xlfn.XLOOKUP(C576,customers!A575:$A$1001,customers!C575:$C$1001,,0)=0,"",_xlfn.XLOOKUP(C576,customers!A575:$A$1001,customers!C575:$C$1001,,0))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2">
      <c r="A577" s="2" t="s">
        <v>3739</v>
      </c>
      <c r="B577" s="3">
        <v>44239</v>
      </c>
      <c r="C577" s="2" t="s">
        <v>3740</v>
      </c>
      <c r="D577" t="s">
        <v>6181</v>
      </c>
      <c r="E577" s="2">
        <v>2</v>
      </c>
      <c r="F577" s="2" t="str">
        <f>_xlfn.XLOOKUP(C577,customers!$A$1:$A$1001,customers!$B$1:$B$1001,,0)</f>
        <v>Reggie Thickpenny</v>
      </c>
      <c r="G577" s="2" t="str" cm="1">
        <f t="array" ref="G577">IF(_xlfn.XLOOKUP(C577,customers!A576:$A$1001,customers!C576:$C$1001,,0)=0,"",_xlfn.XLOOKUP(C577,customers!A576:$A$1001,customers!C576:$C$1001,,0))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2">
      <c r="A578" s="2" t="s">
        <v>3745</v>
      </c>
      <c r="B578" s="3">
        <v>44290</v>
      </c>
      <c r="C578" s="2" t="s">
        <v>3746</v>
      </c>
      <c r="D578" t="s">
        <v>6154</v>
      </c>
      <c r="E578" s="2">
        <v>6</v>
      </c>
      <c r="F578" s="2" t="str">
        <f>_xlfn.XLOOKUP(C578,customers!$A$1:$A$1001,customers!$B$1:$B$1001,,0)</f>
        <v>Phyllys Ormerod</v>
      </c>
      <c r="G578" s="2" t="str" cm="1">
        <f t="array" ref="G578">IF(_xlfn.XLOOKUP(C578,customers!A577:$A$1001,customers!C577:$C$1001,,0)=0,"",_xlfn.XLOOKUP(C578,customers!A577:$A$1001,customers!C577:$C$1001,,0))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2">
      <c r="A579" s="2" t="s">
        <v>3751</v>
      </c>
      <c r="B579" s="3">
        <v>44410</v>
      </c>
      <c r="C579" s="2" t="s">
        <v>3752</v>
      </c>
      <c r="D579" t="s">
        <v>6162</v>
      </c>
      <c r="E579" s="2">
        <v>4</v>
      </c>
      <c r="F579" s="2" t="str">
        <f>_xlfn.XLOOKUP(C579,customers!$A$1:$A$1001,customers!$B$1:$B$1001,,0)</f>
        <v>Don Flintiff</v>
      </c>
      <c r="G579" s="2" t="str" cm="1">
        <f t="array" ref="G579">IF(_xlfn.XLOOKUP(C579,customers!A578:$A$1001,customers!C578:$C$1001,,0)=0,"",_xlfn.XLOOKUP(C579,customers!A578:$A$1001,customers!C578:$C$1001,,0))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 "Robusta", IF(I579="Exc", "Excelsa", IF(I579="Ara", "Arabica", IF(I579="Lib", "Liberica", ""))))</f>
        <v>Liberica</v>
      </c>
      <c r="O579" t="str">
        <f t="shared" ref="O579:O642" si="29">IF(J579="M", "Medium", IF(J579="L", "Light", IF(J579="D", "Dark", "")))</f>
        <v>Medium</v>
      </c>
      <c r="P579" t="str">
        <f>_xlfn.XLOOKUP(Orders[[#This Row],[Customer ID]],customers!$A$1:$A$1001,customers!$I$1:$I$1001,,0)</f>
        <v>No</v>
      </c>
    </row>
    <row r="580" spans="1:16" x14ac:dyDescent="0.2">
      <c r="A580" s="2" t="s">
        <v>3756</v>
      </c>
      <c r="B580" s="3">
        <v>44720</v>
      </c>
      <c r="C580" s="2" t="s">
        <v>3757</v>
      </c>
      <c r="D580" t="s">
        <v>6184</v>
      </c>
      <c r="E580" s="2">
        <v>3</v>
      </c>
      <c r="F580" s="2" t="str">
        <f>_xlfn.XLOOKUP(C580,customers!$A$1:$A$1001,customers!$B$1:$B$1001,,0)</f>
        <v>Tymon Zanetti</v>
      </c>
      <c r="G580" s="2" t="str" cm="1">
        <f t="array" ref="G580">IF(_xlfn.XLOOKUP(C580,customers!A579:$A$1001,customers!C579:$C$1001,,0)=0,"",_xlfn.XLOOKUP(C580,customers!A579:$A$1001,customers!C579:$C$1001,,0))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2">
      <c r="A581" s="2" t="s">
        <v>3756</v>
      </c>
      <c r="B581" s="3">
        <v>44720</v>
      </c>
      <c r="C581" s="2" t="s">
        <v>3757</v>
      </c>
      <c r="D581" t="s">
        <v>6157</v>
      </c>
      <c r="E581" s="2">
        <v>5</v>
      </c>
      <c r="F581" s="2" t="str">
        <f>_xlfn.XLOOKUP(C581,customers!$A$1:$A$1001,customers!$B$1:$B$1001,,0)</f>
        <v>Tymon Zanetti</v>
      </c>
      <c r="G581" s="2" t="str" cm="1">
        <f t="array" ref="G581">IF(_xlfn.XLOOKUP(C581,customers!A580:$A$1001,customers!C580:$C$1001,,0)=0,"",_xlfn.XLOOKUP(C581,customers!A580:$A$1001,customers!C580:$C$1001,,0))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2">
      <c r="A582" s="2" t="s">
        <v>3767</v>
      </c>
      <c r="B582" s="3">
        <v>43965</v>
      </c>
      <c r="C582" s="2" t="s">
        <v>3768</v>
      </c>
      <c r="D582" t="s">
        <v>6171</v>
      </c>
      <c r="E582" s="2">
        <v>3</v>
      </c>
      <c r="F582" s="2" t="str">
        <f>_xlfn.XLOOKUP(C582,customers!$A$1:$A$1001,customers!$B$1:$B$1001,,0)</f>
        <v>Reinaldos Kirtley</v>
      </c>
      <c r="G582" s="2" t="str" cm="1">
        <f t="array" ref="G582">IF(_xlfn.XLOOKUP(C582,customers!A581:$A$1001,customers!C581:$C$1001,,0)=0,"",_xlfn.XLOOKUP(C582,customers!A581:$A$1001,customers!C581:$C$1001,,0))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2">
      <c r="A583" s="2" t="s">
        <v>3773</v>
      </c>
      <c r="B583" s="3">
        <v>44190</v>
      </c>
      <c r="C583" s="2" t="s">
        <v>3774</v>
      </c>
      <c r="D583" t="s">
        <v>6176</v>
      </c>
      <c r="E583" s="2">
        <v>5</v>
      </c>
      <c r="F583" s="2" t="str">
        <f>_xlfn.XLOOKUP(C583,customers!$A$1:$A$1001,customers!$B$1:$B$1001,,0)</f>
        <v>Carney Clemencet</v>
      </c>
      <c r="G583" s="2" t="str" cm="1">
        <f t="array" ref="G583">IF(_xlfn.XLOOKUP(C583,customers!A582:$A$1001,customers!C582:$C$1001,,0)=0,"",_xlfn.XLOOKUP(C583,customers!A582:$A$1001,customers!C582:$C$1001,,0))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2">
      <c r="A584" s="2" t="s">
        <v>3778</v>
      </c>
      <c r="B584" s="3">
        <v>44382</v>
      </c>
      <c r="C584" s="2" t="s">
        <v>3779</v>
      </c>
      <c r="D584" t="s">
        <v>6183</v>
      </c>
      <c r="E584" s="2">
        <v>5</v>
      </c>
      <c r="F584" s="2" t="str">
        <f>_xlfn.XLOOKUP(C584,customers!$A$1:$A$1001,customers!$B$1:$B$1001,,0)</f>
        <v>Russell Donet</v>
      </c>
      <c r="G584" s="2" t="str" cm="1">
        <f t="array" ref="G584">IF(_xlfn.XLOOKUP(C584,customers!A583:$A$1001,customers!C583:$C$1001,,0)=0,"",_xlfn.XLOOKUP(C584,customers!A583:$A$1001,customers!C583:$C$1001,,0))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2">
      <c r="A585" s="2" t="s">
        <v>3784</v>
      </c>
      <c r="B585" s="3">
        <v>43538</v>
      </c>
      <c r="C585" s="2" t="s">
        <v>3785</v>
      </c>
      <c r="D585" t="s">
        <v>6178</v>
      </c>
      <c r="E585" s="2">
        <v>1</v>
      </c>
      <c r="F585" s="2" t="str">
        <f>_xlfn.XLOOKUP(C585,customers!$A$1:$A$1001,customers!$B$1:$B$1001,,0)</f>
        <v>Sidney Gawen</v>
      </c>
      <c r="G585" s="2" t="str" cm="1">
        <f t="array" ref="G585">IF(_xlfn.XLOOKUP(C585,customers!A584:$A$1001,customers!C584:$C$1001,,0)=0,"",_xlfn.XLOOKUP(C585,customers!A584:$A$1001,customers!C584:$C$1001,,0))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2">
      <c r="A586" s="2" t="s">
        <v>3790</v>
      </c>
      <c r="B586" s="3">
        <v>44262</v>
      </c>
      <c r="C586" s="2" t="s">
        <v>3791</v>
      </c>
      <c r="D586" t="s">
        <v>6178</v>
      </c>
      <c r="E586" s="2">
        <v>6</v>
      </c>
      <c r="F586" s="2" t="str">
        <f>_xlfn.XLOOKUP(C586,customers!$A$1:$A$1001,customers!$B$1:$B$1001,,0)</f>
        <v>Rickey Readie</v>
      </c>
      <c r="G586" s="2" t="str" cm="1">
        <f t="array" ref="G586">IF(_xlfn.XLOOKUP(C586,customers!A585:$A$1001,customers!C585:$C$1001,,0)=0,"",_xlfn.XLOOKUP(C586,customers!A585:$A$1001,customers!C585:$C$1001,,0))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2">
      <c r="A587" s="2" t="s">
        <v>3796</v>
      </c>
      <c r="B587" s="3">
        <v>44505</v>
      </c>
      <c r="C587" s="2" t="s">
        <v>3840</v>
      </c>
      <c r="D587" t="s">
        <v>6139</v>
      </c>
      <c r="E587" s="2">
        <v>2</v>
      </c>
      <c r="F587" s="2" t="str">
        <f>_xlfn.XLOOKUP(C587,customers!$A$1:$A$1001,customers!$B$1:$B$1001,,0)</f>
        <v>Cody Verissimo</v>
      </c>
      <c r="G587" s="2" t="str" cm="1">
        <f t="array" ref="G587">IF(_xlfn.XLOOKUP(C587,customers!A586:$A$1001,customers!C586:$C$1001,,0)=0,"",_xlfn.XLOOKUP(C587,customers!A586:$A$1001,customers!C586:$C$1001,,0))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2">
      <c r="A588" s="2" t="s">
        <v>3802</v>
      </c>
      <c r="B588" s="3">
        <v>43867</v>
      </c>
      <c r="C588" s="2" t="s">
        <v>3803</v>
      </c>
      <c r="D588" t="s">
        <v>6142</v>
      </c>
      <c r="E588" s="2">
        <v>3</v>
      </c>
      <c r="F588" s="2" t="str">
        <f>_xlfn.XLOOKUP(C588,customers!$A$1:$A$1001,customers!$B$1:$B$1001,,0)</f>
        <v>Zilvia Claisse</v>
      </c>
      <c r="G588" s="2" t="str" cm="1">
        <f t="array" ref="G588">IF(_xlfn.XLOOKUP(C588,customers!A587:$A$1001,customers!C587:$C$1001,,0)=0,"",_xlfn.XLOOKUP(C588,customers!A587:$A$1001,customers!C587:$C$1001,,0))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2">
      <c r="A589" s="2" t="s">
        <v>3807</v>
      </c>
      <c r="B589" s="3">
        <v>44267</v>
      </c>
      <c r="C589" s="2" t="s">
        <v>3808</v>
      </c>
      <c r="D589" t="s">
        <v>6169</v>
      </c>
      <c r="E589" s="2">
        <v>1</v>
      </c>
      <c r="F589" s="2" t="str">
        <f>_xlfn.XLOOKUP(C589,customers!$A$1:$A$1001,customers!$B$1:$B$1001,,0)</f>
        <v>Bar O' Mahony</v>
      </c>
      <c r="G589" s="2" t="str" cm="1">
        <f t="array" ref="G589">IF(_xlfn.XLOOKUP(C589,customers!A588:$A$1001,customers!C588:$C$1001,,0)=0,"",_xlfn.XLOOKUP(C589,customers!A588:$A$1001,customers!C588:$C$1001,,0))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2">
      <c r="A590" s="2" t="s">
        <v>3812</v>
      </c>
      <c r="B590" s="3">
        <v>44046</v>
      </c>
      <c r="C590" s="2" t="s">
        <v>3813</v>
      </c>
      <c r="D590" t="s">
        <v>6146</v>
      </c>
      <c r="E590" s="2">
        <v>2</v>
      </c>
      <c r="F590" s="2" t="str">
        <f>_xlfn.XLOOKUP(C590,customers!$A$1:$A$1001,customers!$B$1:$B$1001,,0)</f>
        <v>Valenka Stansbury</v>
      </c>
      <c r="G590" s="2" t="str" cm="1">
        <f t="array" ref="G590">IF(_xlfn.XLOOKUP(C590,customers!A589:$A$1001,customers!C589:$C$1001,,0)=0,"",_xlfn.XLOOKUP(C590,customers!A589:$A$1001,customers!C589:$C$1001,,0))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2">
      <c r="A591" s="2" t="s">
        <v>3818</v>
      </c>
      <c r="B591" s="3">
        <v>43671</v>
      </c>
      <c r="C591" s="2" t="s">
        <v>3819</v>
      </c>
      <c r="D591" t="s">
        <v>6148</v>
      </c>
      <c r="E591" s="2">
        <v>6</v>
      </c>
      <c r="F591" s="2" t="str">
        <f>_xlfn.XLOOKUP(C591,customers!$A$1:$A$1001,customers!$B$1:$B$1001,,0)</f>
        <v>Daniel Heinonen</v>
      </c>
      <c r="G591" s="2" t="str" cm="1">
        <f t="array" ref="G591">IF(_xlfn.XLOOKUP(C591,customers!A590:$A$1001,customers!C590:$C$1001,,0)=0,"",_xlfn.XLOOKUP(C591,customers!A590:$A$1001,customers!C590:$C$1001,,0))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2">
      <c r="A592" s="2" t="s">
        <v>3823</v>
      </c>
      <c r="B592" s="3">
        <v>43950</v>
      </c>
      <c r="C592" s="2" t="s">
        <v>3824</v>
      </c>
      <c r="D592" t="s">
        <v>6166</v>
      </c>
      <c r="E592" s="2">
        <v>2</v>
      </c>
      <c r="F592" s="2" t="str">
        <f>_xlfn.XLOOKUP(C592,customers!$A$1:$A$1001,customers!$B$1:$B$1001,,0)</f>
        <v>Jewelle Shenton</v>
      </c>
      <c r="G592" s="2" t="str" cm="1">
        <f t="array" ref="G592">IF(_xlfn.XLOOKUP(C592,customers!A591:$A$1001,customers!C591:$C$1001,,0)=0,"",_xlfn.XLOOKUP(C592,customers!A591:$A$1001,customers!C591:$C$1001,,0))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2">
      <c r="A593" s="2" t="s">
        <v>3829</v>
      </c>
      <c r="B593" s="3">
        <v>43587</v>
      </c>
      <c r="C593" s="2" t="s">
        <v>3830</v>
      </c>
      <c r="D593" t="s">
        <v>6163</v>
      </c>
      <c r="E593" s="2">
        <v>3</v>
      </c>
      <c r="F593" s="2" t="str">
        <f>_xlfn.XLOOKUP(C593,customers!$A$1:$A$1001,customers!$B$1:$B$1001,,0)</f>
        <v>Jennifer Wilkisson</v>
      </c>
      <c r="G593" s="2" t="str" cm="1">
        <f t="array" ref="G593">IF(_xlfn.XLOOKUP(C593,customers!A592:$A$1001,customers!C592:$C$1001,,0)=0,"",_xlfn.XLOOKUP(C593,customers!A592:$A$1001,customers!C592:$C$1001,,0))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2">
      <c r="A594" s="2" t="s">
        <v>3834</v>
      </c>
      <c r="B594" s="3">
        <v>44437</v>
      </c>
      <c r="C594" s="2" t="s">
        <v>3835</v>
      </c>
      <c r="D594" t="s">
        <v>6175</v>
      </c>
      <c r="E594" s="2">
        <v>2</v>
      </c>
      <c r="F594" s="2" t="str">
        <f>_xlfn.XLOOKUP(C594,customers!$A$1:$A$1001,customers!$B$1:$B$1001,,0)</f>
        <v>Kylie Mowat</v>
      </c>
      <c r="G594" s="2" t="str" cm="1">
        <f t="array" ref="G594">IF(_xlfn.XLOOKUP(C594,customers!A593:$A$1001,customers!C593:$C$1001,,0)=0,"",_xlfn.XLOOKUP(C594,customers!A593:$A$1001,customers!C593:$C$1001,,0))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2">
      <c r="A595" s="2" t="s">
        <v>3839</v>
      </c>
      <c r="B595" s="3">
        <v>43903</v>
      </c>
      <c r="C595" s="2" t="s">
        <v>3840</v>
      </c>
      <c r="D595" t="s">
        <v>6185</v>
      </c>
      <c r="E595" s="2">
        <v>1</v>
      </c>
      <c r="F595" s="2" t="str">
        <f>_xlfn.XLOOKUP(C595,customers!$A$1:$A$1001,customers!$B$1:$B$1001,,0)</f>
        <v>Cody Verissimo</v>
      </c>
      <c r="G595" s="2" t="str" cm="1">
        <f t="array" ref="G595">IF(_xlfn.XLOOKUP(C595,customers!A594:$A$1001,customers!C594:$C$1001,,0)=0,"",_xlfn.XLOOKUP(C595,customers!A594:$A$1001,customers!C594:$C$1001,,0))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2">
      <c r="A596" s="2" t="s">
        <v>3844</v>
      </c>
      <c r="B596" s="3">
        <v>43512</v>
      </c>
      <c r="C596" s="2" t="s">
        <v>3845</v>
      </c>
      <c r="D596" t="s">
        <v>6182</v>
      </c>
      <c r="E596" s="2">
        <v>2</v>
      </c>
      <c r="F596" s="2" t="str">
        <f>_xlfn.XLOOKUP(C596,customers!$A$1:$A$1001,customers!$B$1:$B$1001,,0)</f>
        <v>Gabriel Starcks</v>
      </c>
      <c r="G596" s="2" t="str" cm="1">
        <f t="array" ref="G596">IF(_xlfn.XLOOKUP(C596,customers!A595:$A$1001,customers!C595:$C$1001,,0)=0,"",_xlfn.XLOOKUP(C596,customers!A595:$A$1001,customers!C595:$C$1001,,0))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2">
      <c r="A597" s="2" t="s">
        <v>3850</v>
      </c>
      <c r="B597" s="3">
        <v>44527</v>
      </c>
      <c r="C597" s="2" t="s">
        <v>3851</v>
      </c>
      <c r="D597" t="s">
        <v>6171</v>
      </c>
      <c r="E597" s="2">
        <v>1</v>
      </c>
      <c r="F597" s="2" t="str">
        <f>_xlfn.XLOOKUP(C597,customers!$A$1:$A$1001,customers!$B$1:$B$1001,,0)</f>
        <v>Darby Dummer</v>
      </c>
      <c r="G597" s="2" t="str" cm="1">
        <f t="array" ref="G597">IF(_xlfn.XLOOKUP(C597,customers!A596:$A$1001,customers!C596:$C$1001,,0)=0,"",_xlfn.XLOOKUP(C597,customers!A596:$A$1001,customers!C596:$C$1001,,0))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2">
      <c r="A598" s="2" t="s">
        <v>3854</v>
      </c>
      <c r="B598" s="3">
        <v>44523</v>
      </c>
      <c r="C598" s="2" t="s">
        <v>3855</v>
      </c>
      <c r="D598" t="s">
        <v>6157</v>
      </c>
      <c r="E598" s="2">
        <v>5</v>
      </c>
      <c r="F598" s="2" t="str">
        <f>_xlfn.XLOOKUP(C598,customers!$A$1:$A$1001,customers!$B$1:$B$1001,,0)</f>
        <v>Kienan Scholard</v>
      </c>
      <c r="G598" s="2" t="str" cm="1">
        <f t="array" ref="G598">IF(_xlfn.XLOOKUP(C598,customers!A597:$A$1001,customers!C597:$C$1001,,0)=0,"",_xlfn.XLOOKUP(C598,customers!A597:$A$1001,customers!C597:$C$1001,,0))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2">
      <c r="A599" s="2" t="s">
        <v>3860</v>
      </c>
      <c r="B599" s="3">
        <v>44532</v>
      </c>
      <c r="C599" s="2" t="s">
        <v>3861</v>
      </c>
      <c r="D599" t="s">
        <v>6164</v>
      </c>
      <c r="E599" s="2">
        <v>4</v>
      </c>
      <c r="F599" s="2" t="str">
        <f>_xlfn.XLOOKUP(C599,customers!$A$1:$A$1001,customers!$B$1:$B$1001,,0)</f>
        <v>Bo Kindley</v>
      </c>
      <c r="G599" s="2" t="str" cm="1">
        <f t="array" ref="G599">IF(_xlfn.XLOOKUP(C599,customers!A598:$A$1001,customers!C598:$C$1001,,0)=0,"",_xlfn.XLOOKUP(C599,customers!A598:$A$1001,customers!C598:$C$1001,,0))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2">
      <c r="A600" s="2" t="s">
        <v>3866</v>
      </c>
      <c r="B600" s="3">
        <v>43471</v>
      </c>
      <c r="C600" s="2" t="s">
        <v>3867</v>
      </c>
      <c r="D600" t="s">
        <v>6174</v>
      </c>
      <c r="E600" s="2">
        <v>4</v>
      </c>
      <c r="F600" s="2" t="str">
        <f>_xlfn.XLOOKUP(C600,customers!$A$1:$A$1001,customers!$B$1:$B$1001,,0)</f>
        <v>Krissie Hammett</v>
      </c>
      <c r="G600" s="2" t="str" cm="1">
        <f t="array" ref="G600">IF(_xlfn.XLOOKUP(C600,customers!A599:$A$1001,customers!C599:$C$1001,,0)=0,"",_xlfn.XLOOKUP(C600,customers!A599:$A$1001,customers!C599:$C$1001,,0))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2">
      <c r="A601" s="2" t="s">
        <v>3872</v>
      </c>
      <c r="B601" s="3">
        <v>44321</v>
      </c>
      <c r="C601" s="2" t="s">
        <v>3873</v>
      </c>
      <c r="D601" t="s">
        <v>6154</v>
      </c>
      <c r="E601" s="2">
        <v>4</v>
      </c>
      <c r="F601" s="2" t="str">
        <f>_xlfn.XLOOKUP(C601,customers!$A$1:$A$1001,customers!$B$1:$B$1001,,0)</f>
        <v>Alisha Hulburt</v>
      </c>
      <c r="G601" s="2" t="str" cm="1">
        <f t="array" ref="G601">IF(_xlfn.XLOOKUP(C601,customers!A600:$A$1001,customers!C600:$C$1001,,0)=0,"",_xlfn.XLOOKUP(C601,customers!A600:$A$1001,customers!C600:$C$1001,,0))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2">
      <c r="A602" s="2" t="s">
        <v>3877</v>
      </c>
      <c r="B602" s="3">
        <v>44492</v>
      </c>
      <c r="C602" s="2" t="s">
        <v>3878</v>
      </c>
      <c r="D602" t="s">
        <v>6169</v>
      </c>
      <c r="E602" s="2">
        <v>1</v>
      </c>
      <c r="F602" s="2" t="str">
        <f>_xlfn.XLOOKUP(C602,customers!$A$1:$A$1001,customers!$B$1:$B$1001,,0)</f>
        <v>Peyter Lauritzen</v>
      </c>
      <c r="G602" s="2" t="str" cm="1">
        <f t="array" ref="G602">IF(_xlfn.XLOOKUP(C602,customers!A601:$A$1001,customers!C601:$C$1001,,0)=0,"",_xlfn.XLOOKUP(C602,customers!A601:$A$1001,customers!C601:$C$1001,,0))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2">
      <c r="A603" s="2" t="s">
        <v>3883</v>
      </c>
      <c r="B603" s="3">
        <v>43815</v>
      </c>
      <c r="C603" s="2" t="s">
        <v>3884</v>
      </c>
      <c r="D603" t="s">
        <v>6142</v>
      </c>
      <c r="E603" s="2">
        <v>4</v>
      </c>
      <c r="F603" s="2" t="str">
        <f>_xlfn.XLOOKUP(C603,customers!$A$1:$A$1001,customers!$B$1:$B$1001,,0)</f>
        <v>Aurelia Burgwin</v>
      </c>
      <c r="G603" s="2" t="str" cm="1">
        <f t="array" ref="G603">IF(_xlfn.XLOOKUP(C603,customers!A602:$A$1001,customers!C602:$C$1001,,0)=0,"",_xlfn.XLOOKUP(C603,customers!A602:$A$1001,customers!C602:$C$1001,,0))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2">
      <c r="A604" s="2" t="s">
        <v>3889</v>
      </c>
      <c r="B604" s="3">
        <v>43603</v>
      </c>
      <c r="C604" s="2" t="s">
        <v>3890</v>
      </c>
      <c r="D604" t="s">
        <v>6184</v>
      </c>
      <c r="E604" s="2">
        <v>5</v>
      </c>
      <c r="F604" s="2" t="str">
        <f>_xlfn.XLOOKUP(C604,customers!$A$1:$A$1001,customers!$B$1:$B$1001,,0)</f>
        <v>Emalee Rolin</v>
      </c>
      <c r="G604" s="2" t="str" cm="1">
        <f t="array" ref="G604">IF(_xlfn.XLOOKUP(C604,customers!A603:$A$1001,customers!C603:$C$1001,,0)=0,"",_xlfn.XLOOKUP(C604,customers!A603:$A$1001,customers!C603:$C$1001,,0))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2">
      <c r="A605" s="2" t="s">
        <v>3895</v>
      </c>
      <c r="B605" s="3">
        <v>43660</v>
      </c>
      <c r="C605" s="2" t="s">
        <v>3896</v>
      </c>
      <c r="D605" t="s">
        <v>6174</v>
      </c>
      <c r="E605" s="2">
        <v>3</v>
      </c>
      <c r="F605" s="2" t="str">
        <f>_xlfn.XLOOKUP(C605,customers!$A$1:$A$1001,customers!$B$1:$B$1001,,0)</f>
        <v>Donavon Fowle</v>
      </c>
      <c r="G605" s="2" t="str" cm="1">
        <f t="array" ref="G605">IF(_xlfn.XLOOKUP(C605,customers!A604:$A$1001,customers!C604:$C$1001,,0)=0,"",_xlfn.XLOOKUP(C605,customers!A604:$A$1001,customers!C604:$C$1001,,0))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2">
      <c r="A606" s="2" t="s">
        <v>3900</v>
      </c>
      <c r="B606" s="3">
        <v>44148</v>
      </c>
      <c r="C606" s="2" t="s">
        <v>3901</v>
      </c>
      <c r="D606" t="s">
        <v>6165</v>
      </c>
      <c r="E606" s="2">
        <v>4</v>
      </c>
      <c r="F606" s="2" t="str">
        <f>_xlfn.XLOOKUP(C606,customers!$A$1:$A$1001,customers!$B$1:$B$1001,,0)</f>
        <v>Jorge Bettison</v>
      </c>
      <c r="G606" s="2" t="str" cm="1">
        <f t="array" ref="G606">IF(_xlfn.XLOOKUP(C606,customers!A605:$A$1001,customers!C605:$C$1001,,0)=0,"",_xlfn.XLOOKUP(C606,customers!A605:$A$1001,customers!C605:$C$1001,,0))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2">
      <c r="A607" s="2" t="s">
        <v>3905</v>
      </c>
      <c r="B607" s="3">
        <v>44028</v>
      </c>
      <c r="C607" s="2" t="s">
        <v>3906</v>
      </c>
      <c r="D607" t="s">
        <v>6182</v>
      </c>
      <c r="E607" s="2">
        <v>5</v>
      </c>
      <c r="F607" s="2" t="str">
        <f>_xlfn.XLOOKUP(C607,customers!$A$1:$A$1001,customers!$B$1:$B$1001,,0)</f>
        <v>Wang Powlesland</v>
      </c>
      <c r="G607" s="2" t="str" cm="1">
        <f t="array" ref="G607">IF(_xlfn.XLOOKUP(C607,customers!A606:$A$1001,customers!C606:$C$1001,,0)=0,"",_xlfn.XLOOKUP(C607,customers!A606:$A$1001,customers!C606:$C$1001,,0))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2">
      <c r="A608" s="2" t="s">
        <v>3911</v>
      </c>
      <c r="B608" s="3">
        <v>44138</v>
      </c>
      <c r="C608" s="2" t="s">
        <v>3840</v>
      </c>
      <c r="D608" t="s">
        <v>6164</v>
      </c>
      <c r="E608" s="2">
        <v>3</v>
      </c>
      <c r="F608" s="2" t="str">
        <f>_xlfn.XLOOKUP(C608,customers!$A$1:$A$1001,customers!$B$1:$B$1001,,0)</f>
        <v>Cody Verissimo</v>
      </c>
      <c r="G608" s="2" t="e" cm="1">
        <f t="array" ref="G608">IF(_xlfn.XLOOKUP(C608,customers!A607:$A$1001,customers!C607:$C$1001,,0)=0,"",_xlfn.XLOOKUP(C608,customers!A607:$A$1001,customers!C607:$C$1001,,0))</f>
        <v>#N/A</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2">
      <c r="A609" s="2" t="s">
        <v>3917</v>
      </c>
      <c r="B609" s="3">
        <v>44640</v>
      </c>
      <c r="C609" s="2" t="s">
        <v>3918</v>
      </c>
      <c r="D609" t="s">
        <v>6153</v>
      </c>
      <c r="E609" s="2">
        <v>1</v>
      </c>
      <c r="F609" s="2" t="str">
        <f>_xlfn.XLOOKUP(C609,customers!$A$1:$A$1001,customers!$B$1:$B$1001,,0)</f>
        <v>Laurence Ellingham</v>
      </c>
      <c r="G609" s="2" t="str" cm="1">
        <f t="array" ref="G609">IF(_xlfn.XLOOKUP(C609,customers!A608:$A$1001,customers!C608:$C$1001,,0)=0,"",_xlfn.XLOOKUP(C609,customers!A608:$A$1001,customers!C608:$C$1001,,0))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2">
      <c r="A610" s="2" t="s">
        <v>3923</v>
      </c>
      <c r="B610" s="3">
        <v>44608</v>
      </c>
      <c r="C610" s="2" t="s">
        <v>3924</v>
      </c>
      <c r="D610" t="s">
        <v>6185</v>
      </c>
      <c r="E610" s="2">
        <v>2</v>
      </c>
      <c r="F610" s="2" t="str">
        <f>_xlfn.XLOOKUP(C610,customers!$A$1:$A$1001,customers!$B$1:$B$1001,,0)</f>
        <v>Billy Neiland</v>
      </c>
      <c r="G610" s="2" t="str" cm="1">
        <f t="array" ref="G610">IF(_xlfn.XLOOKUP(C610,customers!A609:$A$1001,customers!C609:$C$1001,,0)=0,"",_xlfn.XLOOKUP(C610,customers!A609:$A$1001,customers!C609:$C$1001,,0))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2">
      <c r="A611" s="2" t="s">
        <v>3927</v>
      </c>
      <c r="B611" s="3">
        <v>44147</v>
      </c>
      <c r="C611" s="2" t="s">
        <v>3928</v>
      </c>
      <c r="D611" t="s">
        <v>6159</v>
      </c>
      <c r="E611" s="2">
        <v>6</v>
      </c>
      <c r="F611" s="2" t="str">
        <f>_xlfn.XLOOKUP(C611,customers!$A$1:$A$1001,customers!$B$1:$B$1001,,0)</f>
        <v>Ancell Fendt</v>
      </c>
      <c r="G611" s="2" t="str" cm="1">
        <f t="array" ref="G611">IF(_xlfn.XLOOKUP(C611,customers!A610:$A$1001,customers!C610:$C$1001,,0)=0,"",_xlfn.XLOOKUP(C611,customers!A610:$A$1001,customers!C610:$C$1001,,0))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2">
      <c r="A612" s="2" t="s">
        <v>3933</v>
      </c>
      <c r="B612" s="3">
        <v>43743</v>
      </c>
      <c r="C612" s="2" t="s">
        <v>3934</v>
      </c>
      <c r="D612" t="s">
        <v>6138</v>
      </c>
      <c r="E612" s="2">
        <v>4</v>
      </c>
      <c r="F612" s="2" t="str">
        <f>_xlfn.XLOOKUP(C612,customers!$A$1:$A$1001,customers!$B$1:$B$1001,,0)</f>
        <v>Angelia Cleyburn</v>
      </c>
      <c r="G612" s="2" t="str" cm="1">
        <f t="array" ref="G612">IF(_xlfn.XLOOKUP(C612,customers!A611:$A$1001,customers!C611:$C$1001,,0)=0,"",_xlfn.XLOOKUP(C612,customers!A611:$A$1001,customers!C611:$C$1001,,0))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2">
      <c r="A613" s="2" t="s">
        <v>3939</v>
      </c>
      <c r="B613" s="3">
        <v>43739</v>
      </c>
      <c r="C613" s="2" t="s">
        <v>3940</v>
      </c>
      <c r="D613" t="s">
        <v>6148</v>
      </c>
      <c r="E613" s="2">
        <v>2</v>
      </c>
      <c r="F613" s="2" t="str">
        <f>_xlfn.XLOOKUP(C613,customers!$A$1:$A$1001,customers!$B$1:$B$1001,,0)</f>
        <v>Temple Castiglione</v>
      </c>
      <c r="G613" s="2" t="str" cm="1">
        <f t="array" ref="G613">IF(_xlfn.XLOOKUP(C613,customers!A612:$A$1001,customers!C612:$C$1001,,0)=0,"",_xlfn.XLOOKUP(C613,customers!A612:$A$1001,customers!C612:$C$1001,,0))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2">
      <c r="A614" s="2" t="s">
        <v>3945</v>
      </c>
      <c r="B614" s="3">
        <v>43896</v>
      </c>
      <c r="C614" s="2" t="s">
        <v>3946</v>
      </c>
      <c r="D614" t="s">
        <v>6152</v>
      </c>
      <c r="E614" s="2">
        <v>4</v>
      </c>
      <c r="F614" s="2" t="str">
        <f>_xlfn.XLOOKUP(C614,customers!$A$1:$A$1001,customers!$B$1:$B$1001,,0)</f>
        <v>Betti Lacasa</v>
      </c>
      <c r="G614" s="2" t="str" cm="1">
        <f t="array" ref="G614">IF(_xlfn.XLOOKUP(C614,customers!A613:$A$1001,customers!C613:$C$1001,,0)=0,"",_xlfn.XLOOKUP(C614,customers!A613:$A$1001,customers!C613:$C$1001,,0))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2">
      <c r="A615" s="2" t="s">
        <v>3950</v>
      </c>
      <c r="B615" s="3">
        <v>43761</v>
      </c>
      <c r="C615" s="2" t="s">
        <v>3951</v>
      </c>
      <c r="D615" t="s">
        <v>6146</v>
      </c>
      <c r="E615" s="2">
        <v>1</v>
      </c>
      <c r="F615" s="2" t="str">
        <f>_xlfn.XLOOKUP(C615,customers!$A$1:$A$1001,customers!$B$1:$B$1001,,0)</f>
        <v>Gunilla Lynch</v>
      </c>
      <c r="G615" s="2" t="str" cm="1">
        <f t="array" ref="G615">IF(_xlfn.XLOOKUP(C615,customers!A614:$A$1001,customers!C614:$C$1001,,0)=0,"",_xlfn.XLOOKUP(C615,customers!A614:$A$1001,customers!C614:$C$1001,,0))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2">
      <c r="A616" s="2" t="s">
        <v>3955</v>
      </c>
      <c r="B616" s="3">
        <v>43944</v>
      </c>
      <c r="C616" s="2" t="s">
        <v>3840</v>
      </c>
      <c r="D616" t="s">
        <v>6146</v>
      </c>
      <c r="E616" s="2">
        <v>5</v>
      </c>
      <c r="F616" s="2" t="str">
        <f>_xlfn.XLOOKUP(C616,customers!$A$1:$A$1001,customers!$B$1:$B$1001,,0)</f>
        <v>Cody Verissimo</v>
      </c>
      <c r="G616" s="2" t="e" cm="1">
        <f t="array" ref="G616">IF(_xlfn.XLOOKUP(C616,customers!A615:$A$1001,customers!C615:$C$1001,,0)=0,"",_xlfn.XLOOKUP(C616,customers!A615:$A$1001,customers!C615:$C$1001,,0))</f>
        <v>#N/A</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2">
      <c r="A617" s="2" t="s">
        <v>3960</v>
      </c>
      <c r="B617" s="3">
        <v>44006</v>
      </c>
      <c r="C617" s="2" t="s">
        <v>3961</v>
      </c>
      <c r="D617" t="s">
        <v>6164</v>
      </c>
      <c r="E617" s="2">
        <v>2</v>
      </c>
      <c r="F617" s="2" t="str">
        <f>_xlfn.XLOOKUP(C617,customers!$A$1:$A$1001,customers!$B$1:$B$1001,,0)</f>
        <v>Shay Couronne</v>
      </c>
      <c r="G617" s="2" t="str" cm="1">
        <f t="array" ref="G617">IF(_xlfn.XLOOKUP(C617,customers!A616:$A$1001,customers!C616:$C$1001,,0)=0,"",_xlfn.XLOOKUP(C617,customers!A616:$A$1001,customers!C616:$C$1001,,0))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2">
      <c r="A618" s="2" t="s">
        <v>3966</v>
      </c>
      <c r="B618" s="3">
        <v>44271</v>
      </c>
      <c r="C618" s="2" t="s">
        <v>3967</v>
      </c>
      <c r="D618" t="s">
        <v>6166</v>
      </c>
      <c r="E618" s="2">
        <v>4</v>
      </c>
      <c r="F618" s="2" t="str">
        <f>_xlfn.XLOOKUP(C618,customers!$A$1:$A$1001,customers!$B$1:$B$1001,,0)</f>
        <v>Linus Flippelli</v>
      </c>
      <c r="G618" s="2" t="str" cm="1">
        <f t="array" ref="G618">IF(_xlfn.XLOOKUP(C618,customers!A617:$A$1001,customers!C617:$C$1001,,0)=0,"",_xlfn.XLOOKUP(C618,customers!A617:$A$1001,customers!C617:$C$1001,,0))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2">
      <c r="A619" s="2" t="s">
        <v>3972</v>
      </c>
      <c r="B619" s="3">
        <v>43928</v>
      </c>
      <c r="C619" s="2" t="s">
        <v>3973</v>
      </c>
      <c r="D619" t="s">
        <v>6181</v>
      </c>
      <c r="E619" s="2">
        <v>1</v>
      </c>
      <c r="F619" s="2" t="str">
        <f>_xlfn.XLOOKUP(C619,customers!$A$1:$A$1001,customers!$B$1:$B$1001,,0)</f>
        <v>Rachelle Elizabeth</v>
      </c>
      <c r="G619" s="2" t="str" cm="1">
        <f t="array" ref="G619">IF(_xlfn.XLOOKUP(C619,customers!A618:$A$1001,customers!C618:$C$1001,,0)=0,"",_xlfn.XLOOKUP(C619,customers!A618:$A$1001,customers!C618:$C$1001,,0))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2">
      <c r="A620" s="2" t="s">
        <v>3978</v>
      </c>
      <c r="B620" s="3">
        <v>44469</v>
      </c>
      <c r="C620" s="2" t="s">
        <v>3979</v>
      </c>
      <c r="D620" t="s">
        <v>6183</v>
      </c>
      <c r="E620" s="2">
        <v>6</v>
      </c>
      <c r="F620" s="2" t="str">
        <f>_xlfn.XLOOKUP(C620,customers!$A$1:$A$1001,customers!$B$1:$B$1001,,0)</f>
        <v>Innis Renhard</v>
      </c>
      <c r="G620" s="2" t="str" cm="1">
        <f t="array" ref="G620">IF(_xlfn.XLOOKUP(C620,customers!A619:$A$1001,customers!C619:$C$1001,,0)=0,"",_xlfn.XLOOKUP(C620,customers!A619:$A$1001,customers!C619:$C$1001,,0))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2">
      <c r="A621" s="2" t="s">
        <v>3984</v>
      </c>
      <c r="B621" s="3">
        <v>44682</v>
      </c>
      <c r="C621" s="2" t="s">
        <v>3985</v>
      </c>
      <c r="D621" t="s">
        <v>6169</v>
      </c>
      <c r="E621" s="2">
        <v>2</v>
      </c>
      <c r="F621" s="2" t="str">
        <f>_xlfn.XLOOKUP(C621,customers!$A$1:$A$1001,customers!$B$1:$B$1001,,0)</f>
        <v>Winne Roche</v>
      </c>
      <c r="G621" s="2" t="str" cm="1">
        <f t="array" ref="G621">IF(_xlfn.XLOOKUP(C621,customers!A620:$A$1001,customers!C620:$C$1001,,0)=0,"",_xlfn.XLOOKUP(C621,customers!A620:$A$1001,customers!C620:$C$1001,,0))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2">
      <c r="A622" s="2" t="s">
        <v>3990</v>
      </c>
      <c r="B622" s="3">
        <v>44217</v>
      </c>
      <c r="C622" s="2" t="s">
        <v>4042</v>
      </c>
      <c r="D622" t="s">
        <v>6152</v>
      </c>
      <c r="E622" s="2">
        <v>6</v>
      </c>
      <c r="F622" s="2" t="str">
        <f>_xlfn.XLOOKUP(C622,customers!$A$1:$A$1001,customers!$B$1:$B$1001,,0)</f>
        <v>Linn Alaway</v>
      </c>
      <c r="G622" s="2" t="str" cm="1">
        <f t="array" ref="G622">IF(_xlfn.XLOOKUP(C622,customers!A621:$A$1001,customers!C621:$C$1001,,0)=0,"",_xlfn.XLOOKUP(C622,customers!A621:$A$1001,customers!C621:$C$1001,,0))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2">
      <c r="A623" s="2" t="s">
        <v>3996</v>
      </c>
      <c r="B623" s="3">
        <v>44006</v>
      </c>
      <c r="C623" s="2" t="s">
        <v>3997</v>
      </c>
      <c r="D623" t="s">
        <v>6140</v>
      </c>
      <c r="E623" s="2">
        <v>6</v>
      </c>
      <c r="F623" s="2" t="str">
        <f>_xlfn.XLOOKUP(C623,customers!$A$1:$A$1001,customers!$B$1:$B$1001,,0)</f>
        <v>Cordy Odgaard</v>
      </c>
      <c r="G623" s="2" t="str" cm="1">
        <f t="array" ref="G623">IF(_xlfn.XLOOKUP(C623,customers!A622:$A$1001,customers!C622:$C$1001,,0)=0,"",_xlfn.XLOOKUP(C623,customers!A622:$A$1001,customers!C622:$C$1001,,0))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2">
      <c r="A624" s="2" t="s">
        <v>4002</v>
      </c>
      <c r="B624" s="3">
        <v>43527</v>
      </c>
      <c r="C624" s="2" t="s">
        <v>4003</v>
      </c>
      <c r="D624" t="s">
        <v>6181</v>
      </c>
      <c r="E624" s="2">
        <v>4</v>
      </c>
      <c r="F624" s="2" t="str">
        <f>_xlfn.XLOOKUP(C624,customers!$A$1:$A$1001,customers!$B$1:$B$1001,,0)</f>
        <v>Bertine Byrd</v>
      </c>
      <c r="G624" s="2" t="str" cm="1">
        <f t="array" ref="G624">IF(_xlfn.XLOOKUP(C624,customers!A623:$A$1001,customers!C623:$C$1001,,0)=0,"",_xlfn.XLOOKUP(C624,customers!A623:$A$1001,customers!C623:$C$1001,,0))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2">
      <c r="A625" s="2" t="s">
        <v>4007</v>
      </c>
      <c r="B625" s="3">
        <v>44224</v>
      </c>
      <c r="C625" s="2" t="s">
        <v>4008</v>
      </c>
      <c r="D625" t="s">
        <v>6183</v>
      </c>
      <c r="E625" s="2">
        <v>1</v>
      </c>
      <c r="F625" s="2" t="str">
        <f>_xlfn.XLOOKUP(C625,customers!$A$1:$A$1001,customers!$B$1:$B$1001,,0)</f>
        <v>Nelie Garnson</v>
      </c>
      <c r="G625" s="2" t="str" cm="1">
        <f t="array" ref="G625">IF(_xlfn.XLOOKUP(C625,customers!A624:$A$1001,customers!C624:$C$1001,,0)=0,"",_xlfn.XLOOKUP(C625,customers!A624:$A$1001,customers!C624:$C$1001,,0))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2">
      <c r="A626" s="2" t="s">
        <v>4012</v>
      </c>
      <c r="B626" s="3">
        <v>44010</v>
      </c>
      <c r="C626" s="2" t="s">
        <v>4013</v>
      </c>
      <c r="D626" t="s">
        <v>6166</v>
      </c>
      <c r="E626" s="2">
        <v>2</v>
      </c>
      <c r="F626" s="2" t="str">
        <f>_xlfn.XLOOKUP(C626,customers!$A$1:$A$1001,customers!$B$1:$B$1001,,0)</f>
        <v>Dianne Chardin</v>
      </c>
      <c r="G626" s="2" t="str" cm="1">
        <f t="array" ref="G626">IF(_xlfn.XLOOKUP(C626,customers!A625:$A$1001,customers!C625:$C$1001,,0)=0,"",_xlfn.XLOOKUP(C626,customers!A625:$A$1001,customers!C625:$C$1001,,0))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2">
      <c r="A627" s="2" t="s">
        <v>4017</v>
      </c>
      <c r="B627" s="3">
        <v>44017</v>
      </c>
      <c r="C627" s="2" t="s">
        <v>4018</v>
      </c>
      <c r="D627" t="s">
        <v>6173</v>
      </c>
      <c r="E627" s="2">
        <v>5</v>
      </c>
      <c r="F627" s="2" t="str">
        <f>_xlfn.XLOOKUP(C627,customers!$A$1:$A$1001,customers!$B$1:$B$1001,,0)</f>
        <v>Hailee Radbone</v>
      </c>
      <c r="G627" s="2" t="str" cm="1">
        <f t="array" ref="G627">IF(_xlfn.XLOOKUP(C627,customers!A626:$A$1001,customers!C626:$C$1001,,0)=0,"",_xlfn.XLOOKUP(C627,customers!A626:$A$1001,customers!C626:$C$1001,,0))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2">
      <c r="A628" s="2" t="s">
        <v>4023</v>
      </c>
      <c r="B628" s="3">
        <v>43526</v>
      </c>
      <c r="C628" s="2" t="s">
        <v>4024</v>
      </c>
      <c r="D628" t="s">
        <v>6175</v>
      </c>
      <c r="E628" s="2">
        <v>3</v>
      </c>
      <c r="F628" s="2" t="str">
        <f>_xlfn.XLOOKUP(C628,customers!$A$1:$A$1001,customers!$B$1:$B$1001,,0)</f>
        <v>Wallis Bernth</v>
      </c>
      <c r="G628" s="2" t="str" cm="1">
        <f t="array" ref="G628">IF(_xlfn.XLOOKUP(C628,customers!A627:$A$1001,customers!C627:$C$1001,,0)=0,"",_xlfn.XLOOKUP(C628,customers!A627:$A$1001,customers!C627:$C$1001,,0))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2">
      <c r="A629" s="2" t="s">
        <v>4029</v>
      </c>
      <c r="B629" s="3">
        <v>44682</v>
      </c>
      <c r="C629" s="2" t="s">
        <v>4030</v>
      </c>
      <c r="D629" t="s">
        <v>6166</v>
      </c>
      <c r="E629" s="2">
        <v>2</v>
      </c>
      <c r="F629" s="2" t="str">
        <f>_xlfn.XLOOKUP(C629,customers!$A$1:$A$1001,customers!$B$1:$B$1001,,0)</f>
        <v>Byron Acarson</v>
      </c>
      <c r="G629" s="2" t="str" cm="1">
        <f t="array" ref="G629">IF(_xlfn.XLOOKUP(C629,customers!A628:$A$1001,customers!C628:$C$1001,,0)=0,"",_xlfn.XLOOKUP(C629,customers!A628:$A$1001,customers!C628:$C$1001,,0))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2">
      <c r="A630" s="2" t="s">
        <v>4035</v>
      </c>
      <c r="B630" s="3">
        <v>44680</v>
      </c>
      <c r="C630" s="2" t="s">
        <v>4036</v>
      </c>
      <c r="D630" t="s">
        <v>6184</v>
      </c>
      <c r="E630" s="2">
        <v>6</v>
      </c>
      <c r="F630" s="2" t="str">
        <f>_xlfn.XLOOKUP(C630,customers!$A$1:$A$1001,customers!$B$1:$B$1001,,0)</f>
        <v>Faunie Brigham</v>
      </c>
      <c r="G630" s="2" t="str" cm="1">
        <f t="array" ref="G630">IF(_xlfn.XLOOKUP(C630,customers!A629:$A$1001,customers!C629:$C$1001,,0)=0,"",_xlfn.XLOOKUP(C630,customers!A629:$A$1001,customers!C629:$C$1001,,0))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2">
      <c r="A631" s="2" t="s">
        <v>4035</v>
      </c>
      <c r="B631" s="3">
        <v>44680</v>
      </c>
      <c r="C631" s="2" t="s">
        <v>4036</v>
      </c>
      <c r="D631" t="s">
        <v>6169</v>
      </c>
      <c r="E631" s="2">
        <v>4</v>
      </c>
      <c r="F631" s="2" t="str">
        <f>_xlfn.XLOOKUP(C631,customers!$A$1:$A$1001,customers!$B$1:$B$1001,,0)</f>
        <v>Faunie Brigham</v>
      </c>
      <c r="G631" s="2" t="str" cm="1">
        <f t="array" ref="G631">IF(_xlfn.XLOOKUP(C631,customers!A630:$A$1001,customers!C630:$C$1001,,0)=0,"",_xlfn.XLOOKUP(C631,customers!A630:$A$1001,customers!C630:$C$1001,,0))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2">
      <c r="A632" s="2" t="s">
        <v>4035</v>
      </c>
      <c r="B632" s="3">
        <v>44680</v>
      </c>
      <c r="C632" s="2" t="s">
        <v>4036</v>
      </c>
      <c r="D632" t="s">
        <v>6154</v>
      </c>
      <c r="E632" s="2">
        <v>1</v>
      </c>
      <c r="F632" s="2" t="str">
        <f>_xlfn.XLOOKUP(C632,customers!$A$1:$A$1001,customers!$B$1:$B$1001,,0)</f>
        <v>Faunie Brigham</v>
      </c>
      <c r="G632" s="2" t="e" cm="1">
        <f t="array" ref="G632">IF(_xlfn.XLOOKUP(C632,customers!A631:$A$1001,customers!C631:$C$1001,,0)=0,"",_xlfn.XLOOKUP(C632,customers!A631:$A$1001,customers!C631:$C$1001,,0))</f>
        <v>#N/A</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2">
      <c r="A633" s="2" t="s">
        <v>4035</v>
      </c>
      <c r="B633" s="3">
        <v>44680</v>
      </c>
      <c r="C633" s="2" t="s">
        <v>4036</v>
      </c>
      <c r="D633" t="s">
        <v>6149</v>
      </c>
      <c r="E633" s="2">
        <v>5</v>
      </c>
      <c r="F633" s="2" t="str">
        <f>_xlfn.XLOOKUP(C633,customers!$A$1:$A$1001,customers!$B$1:$B$1001,,0)</f>
        <v>Faunie Brigham</v>
      </c>
      <c r="G633" s="2" t="e" cm="1">
        <f t="array" ref="G633">IF(_xlfn.XLOOKUP(C633,customers!A632:$A$1001,customers!C632:$C$1001,,0)=0,"",_xlfn.XLOOKUP(C633,customers!A632:$A$1001,customers!C632:$C$1001,,0))</f>
        <v>#N/A</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2">
      <c r="A634" s="2" t="s">
        <v>4056</v>
      </c>
      <c r="B634" s="3">
        <v>44049</v>
      </c>
      <c r="C634" s="2" t="s">
        <v>4057</v>
      </c>
      <c r="D634" t="s">
        <v>6176</v>
      </c>
      <c r="E634" s="2">
        <v>4</v>
      </c>
      <c r="F634" s="2" t="str">
        <f>_xlfn.XLOOKUP(C634,customers!$A$1:$A$1001,customers!$B$1:$B$1001,,0)</f>
        <v>Marjorie Yoxen</v>
      </c>
      <c r="G634" s="2" t="str" cm="1">
        <f t="array" ref="G634">IF(_xlfn.XLOOKUP(C634,customers!A633:$A$1001,customers!C633:$C$1001,,0)=0,"",_xlfn.XLOOKUP(C634,customers!A633:$A$1001,customers!C633:$C$1001,,0))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2">
      <c r="A635" s="2" t="s">
        <v>4062</v>
      </c>
      <c r="B635" s="3">
        <v>43820</v>
      </c>
      <c r="C635" s="2" t="s">
        <v>4063</v>
      </c>
      <c r="D635" t="s">
        <v>6179</v>
      </c>
      <c r="E635" s="2">
        <v>4</v>
      </c>
      <c r="F635" s="2" t="str">
        <f>_xlfn.XLOOKUP(C635,customers!$A$1:$A$1001,customers!$B$1:$B$1001,,0)</f>
        <v>Gaspar McGavin</v>
      </c>
      <c r="G635" s="2" t="str" cm="1">
        <f t="array" ref="G635">IF(_xlfn.XLOOKUP(C635,customers!A634:$A$1001,customers!C634:$C$1001,,0)=0,"",_xlfn.XLOOKUP(C635,customers!A634:$A$1001,customers!C634:$C$1001,,0))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2">
      <c r="A636" s="2" t="s">
        <v>4068</v>
      </c>
      <c r="B636" s="3">
        <v>43940</v>
      </c>
      <c r="C636" s="2" t="s">
        <v>4069</v>
      </c>
      <c r="D636" t="s">
        <v>6162</v>
      </c>
      <c r="E636" s="2">
        <v>3</v>
      </c>
      <c r="F636" s="2" t="str">
        <f>_xlfn.XLOOKUP(C636,customers!$A$1:$A$1001,customers!$B$1:$B$1001,,0)</f>
        <v>Lindy Uttermare</v>
      </c>
      <c r="G636" s="2" t="str" cm="1">
        <f t="array" ref="G636">IF(_xlfn.XLOOKUP(C636,customers!A635:$A$1001,customers!C635:$C$1001,,0)=0,"",_xlfn.XLOOKUP(C636,customers!A635:$A$1001,customers!C635:$C$1001,,0))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2">
      <c r="A637" s="2" t="s">
        <v>4074</v>
      </c>
      <c r="B637" s="3">
        <v>44578</v>
      </c>
      <c r="C637" s="2" t="s">
        <v>4075</v>
      </c>
      <c r="D637" t="s">
        <v>6176</v>
      </c>
      <c r="E637" s="2">
        <v>4</v>
      </c>
      <c r="F637" s="2" t="str">
        <f>_xlfn.XLOOKUP(C637,customers!$A$1:$A$1001,customers!$B$1:$B$1001,,0)</f>
        <v>Eal D'Ambrogio</v>
      </c>
      <c r="G637" s="2" t="str" cm="1">
        <f t="array" ref="G637">IF(_xlfn.XLOOKUP(C637,customers!A636:$A$1001,customers!C636:$C$1001,,0)=0,"",_xlfn.XLOOKUP(C637,customers!A636:$A$1001,customers!C636:$C$1001,,0))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2">
      <c r="A638" s="2" t="s">
        <v>4080</v>
      </c>
      <c r="B638" s="3">
        <v>43487</v>
      </c>
      <c r="C638" s="2" t="s">
        <v>4081</v>
      </c>
      <c r="D638" t="s">
        <v>6170</v>
      </c>
      <c r="E638" s="2">
        <v>6</v>
      </c>
      <c r="F638" s="2" t="str">
        <f>_xlfn.XLOOKUP(C638,customers!$A$1:$A$1001,customers!$B$1:$B$1001,,0)</f>
        <v>Carolee Winchcombe</v>
      </c>
      <c r="G638" s="2" t="str" cm="1">
        <f t="array" ref="G638">IF(_xlfn.XLOOKUP(C638,customers!A637:$A$1001,customers!C637:$C$1001,,0)=0,"",_xlfn.XLOOKUP(C638,customers!A637:$A$1001,customers!C637:$C$1001,,0))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2">
      <c r="A639" s="2" t="s">
        <v>4086</v>
      </c>
      <c r="B639" s="3">
        <v>43889</v>
      </c>
      <c r="C639" s="2" t="s">
        <v>4087</v>
      </c>
      <c r="D639" t="s">
        <v>6166</v>
      </c>
      <c r="E639" s="2">
        <v>1</v>
      </c>
      <c r="F639" s="2" t="str">
        <f>_xlfn.XLOOKUP(C639,customers!$A$1:$A$1001,customers!$B$1:$B$1001,,0)</f>
        <v>Benedikta Paumier</v>
      </c>
      <c r="G639" s="2" t="str" cm="1">
        <f t="array" ref="G639">IF(_xlfn.XLOOKUP(C639,customers!A638:$A$1001,customers!C638:$C$1001,,0)=0,"",_xlfn.XLOOKUP(C639,customers!A638:$A$1001,customers!C638:$C$1001,,0))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2">
      <c r="A640" s="2" t="s">
        <v>4093</v>
      </c>
      <c r="B640" s="3">
        <v>43684</v>
      </c>
      <c r="C640" s="2" t="s">
        <v>4094</v>
      </c>
      <c r="D640" t="s">
        <v>6175</v>
      </c>
      <c r="E640" s="2">
        <v>3</v>
      </c>
      <c r="F640" s="2" t="str">
        <f>_xlfn.XLOOKUP(C640,customers!$A$1:$A$1001,customers!$B$1:$B$1001,,0)</f>
        <v>Neville Piatto</v>
      </c>
      <c r="G640" s="2" t="str" cm="1">
        <f t="array" ref="G640">IF(_xlfn.XLOOKUP(C640,customers!A639:$A$1001,customers!C639:$C$1001,,0)=0,"",_xlfn.XLOOKUP(C640,customers!A639:$A$1001,customers!C639:$C$1001,,0))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2">
      <c r="A641" s="2" t="s">
        <v>4098</v>
      </c>
      <c r="B641" s="3">
        <v>44331</v>
      </c>
      <c r="C641" s="2" t="s">
        <v>4099</v>
      </c>
      <c r="D641" t="s">
        <v>6150</v>
      </c>
      <c r="E641" s="2">
        <v>1</v>
      </c>
      <c r="F641" s="2" t="str">
        <f>_xlfn.XLOOKUP(C641,customers!$A$1:$A$1001,customers!$B$1:$B$1001,,0)</f>
        <v>Jeno Capey</v>
      </c>
      <c r="G641" s="2" t="str" cm="1">
        <f t="array" ref="G641">IF(_xlfn.XLOOKUP(C641,customers!A640:$A$1001,customers!C640:$C$1001,,0)=0,"",_xlfn.XLOOKUP(C641,customers!A640:$A$1001,customers!C640:$C$1001,,0))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2">
      <c r="A642" s="2" t="s">
        <v>4104</v>
      </c>
      <c r="B642" s="3">
        <v>44547</v>
      </c>
      <c r="C642" s="2" t="s">
        <v>4152</v>
      </c>
      <c r="D642" t="s">
        <v>6142</v>
      </c>
      <c r="E642" s="2">
        <v>5</v>
      </c>
      <c r="F642" s="2" t="str">
        <f>_xlfn.XLOOKUP(C642,customers!$A$1:$A$1001,customers!$B$1:$B$1001,,0)</f>
        <v>Tuckie Mathonnet</v>
      </c>
      <c r="G642" s="2" t="str" cm="1">
        <f t="array" ref="G642">IF(_xlfn.XLOOKUP(C642,customers!A641:$A$1001,customers!C641:$C$1001,,0)=0,"",_xlfn.XLOOKUP(C642,customers!A641:$A$1001,customers!C641:$C$1001,,0))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2">
      <c r="A643" s="2" t="s">
        <v>4109</v>
      </c>
      <c r="B643" s="3">
        <v>44448</v>
      </c>
      <c r="C643" s="2" t="s">
        <v>4110</v>
      </c>
      <c r="D643" t="s">
        <v>6179</v>
      </c>
      <c r="E643" s="2">
        <v>3</v>
      </c>
      <c r="F643" s="2" t="str">
        <f>_xlfn.XLOOKUP(C643,customers!$A$1:$A$1001,customers!$B$1:$B$1001,,0)</f>
        <v>Yardley Basill</v>
      </c>
      <c r="G643" s="2" t="str" cm="1">
        <f t="array" ref="G643">IF(_xlfn.XLOOKUP(C643,customers!A642:$A$1001,customers!C642:$C$1001,,0)=0,"",_xlfn.XLOOKUP(C643,customers!A642:$A$1001,customers!C642:$C$1001,,0))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 "Robusta", IF(I643="Exc", "Excelsa", IF(I643="Ara", "Arabica", IF(I643="Lib", "Liberica", ""))))</f>
        <v>Robusta</v>
      </c>
      <c r="O643" t="str">
        <f t="shared" ref="O643:O706" si="32">IF(J643="M", "Medium", IF(J643="L", "Light", IF(J643="D", "Dark", "")))</f>
        <v>Light</v>
      </c>
      <c r="P643" t="str">
        <f>_xlfn.XLOOKUP(Orders[[#This Row],[Customer ID]],customers!$A$1:$A$1001,customers!$I$1:$I$1001,,0)</f>
        <v>Yes</v>
      </c>
    </row>
    <row r="644" spans="1:16" x14ac:dyDescent="0.2">
      <c r="A644" s="2" t="s">
        <v>4115</v>
      </c>
      <c r="B644" s="3">
        <v>43880</v>
      </c>
      <c r="C644" s="2" t="s">
        <v>4116</v>
      </c>
      <c r="D644" t="s">
        <v>6156</v>
      </c>
      <c r="E644" s="2">
        <v>2</v>
      </c>
      <c r="F644" s="2" t="str">
        <f>_xlfn.XLOOKUP(C644,customers!$A$1:$A$1001,customers!$B$1:$B$1001,,0)</f>
        <v>Maggy Baistow</v>
      </c>
      <c r="G644" s="2" t="str" cm="1">
        <f t="array" ref="G644">IF(_xlfn.XLOOKUP(C644,customers!A643:$A$1001,customers!C643:$C$1001,,0)=0,"",_xlfn.XLOOKUP(C644,customers!A643:$A$1001,customers!C643:$C$1001,,0))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2">
      <c r="A645" s="2" t="s">
        <v>4123</v>
      </c>
      <c r="B645" s="3">
        <v>44011</v>
      </c>
      <c r="C645" s="2" t="s">
        <v>4124</v>
      </c>
      <c r="D645" t="s">
        <v>6148</v>
      </c>
      <c r="E645" s="2">
        <v>3</v>
      </c>
      <c r="F645" s="2" t="str">
        <f>_xlfn.XLOOKUP(C645,customers!$A$1:$A$1001,customers!$B$1:$B$1001,,0)</f>
        <v>Courtney Pallant</v>
      </c>
      <c r="G645" s="2" t="str" cm="1">
        <f t="array" ref="G645">IF(_xlfn.XLOOKUP(C645,customers!A644:$A$1001,customers!C644:$C$1001,,0)=0,"",_xlfn.XLOOKUP(C645,customers!A644:$A$1001,customers!C644:$C$1001,,0))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2">
      <c r="A646" s="2" t="s">
        <v>4128</v>
      </c>
      <c r="B646" s="3">
        <v>44694</v>
      </c>
      <c r="C646" s="2" t="s">
        <v>4129</v>
      </c>
      <c r="D646" t="s">
        <v>6149</v>
      </c>
      <c r="E646" s="2">
        <v>2</v>
      </c>
      <c r="F646" s="2" t="str">
        <f>_xlfn.XLOOKUP(C646,customers!$A$1:$A$1001,customers!$B$1:$B$1001,,0)</f>
        <v>Marne Mingey</v>
      </c>
      <c r="G646" s="2" t="str" cm="1">
        <f t="array" ref="G646">IF(_xlfn.XLOOKUP(C646,customers!A645:$A$1001,customers!C645:$C$1001,,0)=0,"",_xlfn.XLOOKUP(C646,customers!A645:$A$1001,customers!C645:$C$1001,,0))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2">
      <c r="A647" s="2" t="s">
        <v>4133</v>
      </c>
      <c r="B647" s="3">
        <v>44106</v>
      </c>
      <c r="C647" s="2" t="s">
        <v>4134</v>
      </c>
      <c r="D647" t="s">
        <v>6168</v>
      </c>
      <c r="E647" s="2">
        <v>3</v>
      </c>
      <c r="F647" s="2" t="str">
        <f>_xlfn.XLOOKUP(C647,customers!$A$1:$A$1001,customers!$B$1:$B$1001,,0)</f>
        <v>Denny O' Ronan</v>
      </c>
      <c r="G647" s="2" t="str" cm="1">
        <f t="array" ref="G647">IF(_xlfn.XLOOKUP(C647,customers!A646:$A$1001,customers!C646:$C$1001,,0)=0,"",_xlfn.XLOOKUP(C647,customers!A646:$A$1001,customers!C646:$C$1001,,0))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2">
      <c r="A648" s="2" t="s">
        <v>4139</v>
      </c>
      <c r="B648" s="3">
        <v>44532</v>
      </c>
      <c r="C648" s="2" t="s">
        <v>4140</v>
      </c>
      <c r="D648" t="s">
        <v>6147</v>
      </c>
      <c r="E648" s="2">
        <v>1</v>
      </c>
      <c r="F648" s="2" t="str">
        <f>_xlfn.XLOOKUP(C648,customers!$A$1:$A$1001,customers!$B$1:$B$1001,,0)</f>
        <v>Dottie Rallin</v>
      </c>
      <c r="G648" s="2" t="str" cm="1">
        <f t="array" ref="G648">IF(_xlfn.XLOOKUP(C648,customers!A647:$A$1001,customers!C647:$C$1001,,0)=0,"",_xlfn.XLOOKUP(C648,customers!A647:$A$1001,customers!C647:$C$1001,,0))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2">
      <c r="A649" s="2" t="s">
        <v>4145</v>
      </c>
      <c r="B649" s="3">
        <v>44502</v>
      </c>
      <c r="C649" s="2" t="s">
        <v>4146</v>
      </c>
      <c r="D649" t="s">
        <v>6161</v>
      </c>
      <c r="E649" s="2">
        <v>3</v>
      </c>
      <c r="F649" s="2" t="str">
        <f>_xlfn.XLOOKUP(C649,customers!$A$1:$A$1001,customers!$B$1:$B$1001,,0)</f>
        <v>Ardith Chill</v>
      </c>
      <c r="G649" s="2" t="str" cm="1">
        <f t="array" ref="G649">IF(_xlfn.XLOOKUP(C649,customers!A648:$A$1001,customers!C648:$C$1001,,0)=0,"",_xlfn.XLOOKUP(C649,customers!A648:$A$1001,customers!C648:$C$1001,,0))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2">
      <c r="A650" s="2" t="s">
        <v>4151</v>
      </c>
      <c r="B650" s="3">
        <v>43884</v>
      </c>
      <c r="C650" s="2" t="s">
        <v>4152</v>
      </c>
      <c r="D650" t="s">
        <v>6163</v>
      </c>
      <c r="E650" s="2">
        <v>6</v>
      </c>
      <c r="F650" s="2" t="str">
        <f>_xlfn.XLOOKUP(C650,customers!$A$1:$A$1001,customers!$B$1:$B$1001,,0)</f>
        <v>Tuckie Mathonnet</v>
      </c>
      <c r="G650" s="2" t="str" cm="1">
        <f t="array" ref="G650">IF(_xlfn.XLOOKUP(C650,customers!A649:$A$1001,customers!C649:$C$1001,,0)=0,"",_xlfn.XLOOKUP(C650,customers!A649:$A$1001,customers!C649:$C$1001,,0))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2">
      <c r="A651" s="2" t="s">
        <v>4157</v>
      </c>
      <c r="B651" s="3">
        <v>44015</v>
      </c>
      <c r="C651" s="2" t="s">
        <v>4158</v>
      </c>
      <c r="D651" t="s">
        <v>6170</v>
      </c>
      <c r="E651" s="2">
        <v>6</v>
      </c>
      <c r="F651" s="2" t="str">
        <f>_xlfn.XLOOKUP(C651,customers!$A$1:$A$1001,customers!$B$1:$B$1001,,0)</f>
        <v>Charmane Denys</v>
      </c>
      <c r="G651" s="2" t="str" cm="1">
        <f t="array" ref="G651">IF(_xlfn.XLOOKUP(C651,customers!A650:$A$1001,customers!C650:$C$1001,,0)=0,"",_xlfn.XLOOKUP(C651,customers!A650:$A$1001,customers!C650:$C$1001,,0))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2">
      <c r="A652" s="2" t="s">
        <v>4163</v>
      </c>
      <c r="B652" s="3">
        <v>43507</v>
      </c>
      <c r="C652" s="2" t="s">
        <v>4164</v>
      </c>
      <c r="D652" t="s">
        <v>6172</v>
      </c>
      <c r="E652" s="2">
        <v>1</v>
      </c>
      <c r="F652" s="2" t="str">
        <f>_xlfn.XLOOKUP(C652,customers!$A$1:$A$1001,customers!$B$1:$B$1001,,0)</f>
        <v>Cecily Stebbings</v>
      </c>
      <c r="G652" s="2" t="str" cm="1">
        <f t="array" ref="G652">IF(_xlfn.XLOOKUP(C652,customers!A651:$A$1001,customers!C651:$C$1001,,0)=0,"",_xlfn.XLOOKUP(C652,customers!A651:$A$1001,customers!C651:$C$1001,,0))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2">
      <c r="A653" s="2" t="s">
        <v>4169</v>
      </c>
      <c r="B653" s="3">
        <v>44084</v>
      </c>
      <c r="C653" s="2" t="s">
        <v>4170</v>
      </c>
      <c r="D653" t="s">
        <v>6179</v>
      </c>
      <c r="E653" s="2">
        <v>4</v>
      </c>
      <c r="F653" s="2" t="str">
        <f>_xlfn.XLOOKUP(C653,customers!$A$1:$A$1001,customers!$B$1:$B$1001,,0)</f>
        <v>Giana Tonnesen</v>
      </c>
      <c r="G653" s="2" t="str" cm="1">
        <f t="array" ref="G653">IF(_xlfn.XLOOKUP(C653,customers!A652:$A$1001,customers!C652:$C$1001,,0)=0,"",_xlfn.XLOOKUP(C653,customers!A652:$A$1001,customers!C652:$C$1001,,0))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2">
      <c r="A654" s="2" t="s">
        <v>4174</v>
      </c>
      <c r="B654" s="3">
        <v>43892</v>
      </c>
      <c r="C654" s="2" t="s">
        <v>4175</v>
      </c>
      <c r="D654" t="s">
        <v>6170</v>
      </c>
      <c r="E654" s="2">
        <v>4</v>
      </c>
      <c r="F654" s="2" t="str">
        <f>_xlfn.XLOOKUP(C654,customers!$A$1:$A$1001,customers!$B$1:$B$1001,,0)</f>
        <v>Rhetta Zywicki</v>
      </c>
      <c r="G654" s="2" t="str" cm="1">
        <f t="array" ref="G654">IF(_xlfn.XLOOKUP(C654,customers!A653:$A$1001,customers!C653:$C$1001,,0)=0,"",_xlfn.XLOOKUP(C654,customers!A653:$A$1001,customers!C653:$C$1001,,0))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2">
      <c r="A655" s="2" t="s">
        <v>4179</v>
      </c>
      <c r="B655" s="3">
        <v>44375</v>
      </c>
      <c r="C655" s="2" t="s">
        <v>4180</v>
      </c>
      <c r="D655" t="s">
        <v>6175</v>
      </c>
      <c r="E655" s="2">
        <v>4</v>
      </c>
      <c r="F655" s="2" t="str">
        <f>_xlfn.XLOOKUP(C655,customers!$A$1:$A$1001,customers!$B$1:$B$1001,,0)</f>
        <v>Almeria Burgett</v>
      </c>
      <c r="G655" s="2" t="str" cm="1">
        <f t="array" ref="G655">IF(_xlfn.XLOOKUP(C655,customers!A654:$A$1001,customers!C654:$C$1001,,0)=0,"",_xlfn.XLOOKUP(C655,customers!A654:$A$1001,customers!C654:$C$1001,,0))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2">
      <c r="A656" s="2" t="s">
        <v>4185</v>
      </c>
      <c r="B656" s="3">
        <v>43476</v>
      </c>
      <c r="C656" s="2" t="s">
        <v>4186</v>
      </c>
      <c r="D656" t="s">
        <v>6168</v>
      </c>
      <c r="E656" s="2">
        <v>3</v>
      </c>
      <c r="F656" s="2" t="str">
        <f>_xlfn.XLOOKUP(C656,customers!$A$1:$A$1001,customers!$B$1:$B$1001,,0)</f>
        <v>Marvin Malloy</v>
      </c>
      <c r="G656" s="2" t="str" cm="1">
        <f t="array" ref="G656">IF(_xlfn.XLOOKUP(C656,customers!A655:$A$1001,customers!C655:$C$1001,,0)=0,"",_xlfn.XLOOKUP(C656,customers!A655:$A$1001,customers!C655:$C$1001,,0))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2">
      <c r="A657" s="2" t="s">
        <v>4191</v>
      </c>
      <c r="B657" s="3">
        <v>43728</v>
      </c>
      <c r="C657" s="2" t="s">
        <v>4192</v>
      </c>
      <c r="D657" t="s">
        <v>6151</v>
      </c>
      <c r="E657" s="2">
        <v>2</v>
      </c>
      <c r="F657" s="2" t="str">
        <f>_xlfn.XLOOKUP(C657,customers!$A$1:$A$1001,customers!$B$1:$B$1001,,0)</f>
        <v>Maxim McParland</v>
      </c>
      <c r="G657" s="2" t="str" cm="1">
        <f t="array" ref="G657">IF(_xlfn.XLOOKUP(C657,customers!A656:$A$1001,customers!C656:$C$1001,,0)=0,"",_xlfn.XLOOKUP(C657,customers!A656:$A$1001,customers!C656:$C$1001,,0))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2">
      <c r="A658" s="2" t="s">
        <v>4196</v>
      </c>
      <c r="B658" s="3">
        <v>44485</v>
      </c>
      <c r="C658" s="2" t="s">
        <v>4197</v>
      </c>
      <c r="D658" t="s">
        <v>6143</v>
      </c>
      <c r="E658" s="2">
        <v>4</v>
      </c>
      <c r="F658" s="2" t="str">
        <f>_xlfn.XLOOKUP(C658,customers!$A$1:$A$1001,customers!$B$1:$B$1001,,0)</f>
        <v>Sylas Jennaroy</v>
      </c>
      <c r="G658" s="2" t="str" cm="1">
        <f t="array" ref="G658">IF(_xlfn.XLOOKUP(C658,customers!A657:$A$1001,customers!C657:$C$1001,,0)=0,"",_xlfn.XLOOKUP(C658,customers!A657:$A$1001,customers!C657:$C$1001,,0))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2">
      <c r="A659" s="2" t="s">
        <v>4201</v>
      </c>
      <c r="B659" s="3">
        <v>43831</v>
      </c>
      <c r="C659" s="2" t="s">
        <v>4202</v>
      </c>
      <c r="D659" t="s">
        <v>6157</v>
      </c>
      <c r="E659" s="2">
        <v>2</v>
      </c>
      <c r="F659" s="2" t="str">
        <f>_xlfn.XLOOKUP(C659,customers!$A$1:$A$1001,customers!$B$1:$B$1001,,0)</f>
        <v>Wren Place</v>
      </c>
      <c r="G659" s="2" t="str" cm="1">
        <f t="array" ref="G659">IF(_xlfn.XLOOKUP(C659,customers!A658:$A$1001,customers!C658:$C$1001,,0)=0,"",_xlfn.XLOOKUP(C659,customers!A658:$A$1001,customers!C658:$C$1001,,0))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2">
      <c r="A660" s="2" t="s">
        <v>4207</v>
      </c>
      <c r="B660" s="3">
        <v>44630</v>
      </c>
      <c r="C660" s="2" t="s">
        <v>4263</v>
      </c>
      <c r="D660" t="s">
        <v>6139</v>
      </c>
      <c r="E660" s="2">
        <v>3</v>
      </c>
      <c r="F660" s="2" t="str">
        <f>_xlfn.XLOOKUP(C660,customers!$A$1:$A$1001,customers!$B$1:$B$1001,,0)</f>
        <v>Janella Millett</v>
      </c>
      <c r="G660" s="2" t="str" cm="1">
        <f t="array" ref="G660">IF(_xlfn.XLOOKUP(C660,customers!A659:$A$1001,customers!C659:$C$1001,,0)=0,"",_xlfn.XLOOKUP(C660,customers!A659:$A$1001,customers!C659:$C$1001,,0))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2">
      <c r="A661" s="2" t="s">
        <v>4211</v>
      </c>
      <c r="B661" s="3">
        <v>44693</v>
      </c>
      <c r="C661" s="2" t="s">
        <v>4212</v>
      </c>
      <c r="D661" t="s">
        <v>6168</v>
      </c>
      <c r="E661" s="2">
        <v>2</v>
      </c>
      <c r="F661" s="2" t="str">
        <f>_xlfn.XLOOKUP(C661,customers!$A$1:$A$1001,customers!$B$1:$B$1001,,0)</f>
        <v>Dollie Gadsden</v>
      </c>
      <c r="G661" s="2" t="str" cm="1">
        <f t="array" ref="G661">IF(_xlfn.XLOOKUP(C661,customers!A660:$A$1001,customers!C660:$C$1001,,0)=0,"",_xlfn.XLOOKUP(C661,customers!A660:$A$1001,customers!C660:$C$1001,,0))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2">
      <c r="A662" s="2" t="s">
        <v>4217</v>
      </c>
      <c r="B662" s="3">
        <v>44084</v>
      </c>
      <c r="C662" s="2" t="s">
        <v>4218</v>
      </c>
      <c r="D662" t="s">
        <v>6176</v>
      </c>
      <c r="E662" s="2">
        <v>6</v>
      </c>
      <c r="F662" s="2" t="str">
        <f>_xlfn.XLOOKUP(C662,customers!$A$1:$A$1001,customers!$B$1:$B$1001,,0)</f>
        <v>Val Wakelin</v>
      </c>
      <c r="G662" s="2" t="str" cm="1">
        <f t="array" ref="G662">IF(_xlfn.XLOOKUP(C662,customers!A661:$A$1001,customers!C661:$C$1001,,0)=0,"",_xlfn.XLOOKUP(C662,customers!A661:$A$1001,customers!C661:$C$1001,,0))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2">
      <c r="A663" s="2" t="s">
        <v>4223</v>
      </c>
      <c r="B663" s="3">
        <v>44485</v>
      </c>
      <c r="C663" s="2" t="s">
        <v>4224</v>
      </c>
      <c r="D663" t="s">
        <v>6152</v>
      </c>
      <c r="E663" s="2">
        <v>6</v>
      </c>
      <c r="F663" s="2" t="str">
        <f>_xlfn.XLOOKUP(C663,customers!$A$1:$A$1001,customers!$B$1:$B$1001,,0)</f>
        <v>Annie Campsall</v>
      </c>
      <c r="G663" s="2" t="str" cm="1">
        <f t="array" ref="G663">IF(_xlfn.XLOOKUP(C663,customers!A662:$A$1001,customers!C662:$C$1001,,0)=0,"",_xlfn.XLOOKUP(C663,customers!A662:$A$1001,customers!C662:$C$1001,,0))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2">
      <c r="A664" s="2" t="s">
        <v>4229</v>
      </c>
      <c r="B664" s="3">
        <v>44364</v>
      </c>
      <c r="C664" s="2" t="s">
        <v>4230</v>
      </c>
      <c r="D664" t="s">
        <v>6165</v>
      </c>
      <c r="E664" s="2">
        <v>5</v>
      </c>
      <c r="F664" s="2" t="str">
        <f>_xlfn.XLOOKUP(C664,customers!$A$1:$A$1001,customers!$B$1:$B$1001,,0)</f>
        <v>Shermy Moseby</v>
      </c>
      <c r="G664" s="2" t="str" cm="1">
        <f t="array" ref="G664">IF(_xlfn.XLOOKUP(C664,customers!A663:$A$1001,customers!C663:$C$1001,,0)=0,"",_xlfn.XLOOKUP(C664,customers!A663:$A$1001,customers!C663:$C$1001,,0))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2">
      <c r="A665" s="2" t="s">
        <v>4234</v>
      </c>
      <c r="B665" s="3">
        <v>43554</v>
      </c>
      <c r="C665" s="2" t="s">
        <v>4235</v>
      </c>
      <c r="D665" t="s">
        <v>6155</v>
      </c>
      <c r="E665" s="2">
        <v>6</v>
      </c>
      <c r="F665" s="2" t="str">
        <f>_xlfn.XLOOKUP(C665,customers!$A$1:$A$1001,customers!$B$1:$B$1001,,0)</f>
        <v>Corrie Wass</v>
      </c>
      <c r="G665" s="2" t="str" cm="1">
        <f t="array" ref="G665">IF(_xlfn.XLOOKUP(C665,customers!A664:$A$1001,customers!C664:$C$1001,,0)=0,"",_xlfn.XLOOKUP(C665,customers!A664:$A$1001,customers!C664:$C$1001,,0))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2">
      <c r="A666" s="2" t="s">
        <v>4239</v>
      </c>
      <c r="B666" s="3">
        <v>44549</v>
      </c>
      <c r="C666" s="2" t="s">
        <v>4240</v>
      </c>
      <c r="D666" t="s">
        <v>6183</v>
      </c>
      <c r="E666" s="2">
        <v>6</v>
      </c>
      <c r="F666" s="2" t="str">
        <f>_xlfn.XLOOKUP(C666,customers!$A$1:$A$1001,customers!$B$1:$B$1001,,0)</f>
        <v>Ira Sjostrom</v>
      </c>
      <c r="G666" s="2" t="str" cm="1">
        <f t="array" ref="G666">IF(_xlfn.XLOOKUP(C666,customers!A665:$A$1001,customers!C665:$C$1001,,0)=0,"",_xlfn.XLOOKUP(C666,customers!A665:$A$1001,customers!C665:$C$1001,,0))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2">
      <c r="A667" s="2" t="s">
        <v>4239</v>
      </c>
      <c r="B667" s="3">
        <v>44549</v>
      </c>
      <c r="C667" s="2" t="s">
        <v>4240</v>
      </c>
      <c r="D667" t="s">
        <v>6150</v>
      </c>
      <c r="E667" s="2">
        <v>2</v>
      </c>
      <c r="F667" s="2" t="str">
        <f>_xlfn.XLOOKUP(C667,customers!$A$1:$A$1001,customers!$B$1:$B$1001,,0)</f>
        <v>Ira Sjostrom</v>
      </c>
      <c r="G667" s="2" t="str" cm="1">
        <f t="array" ref="G667">IF(_xlfn.XLOOKUP(C667,customers!A666:$A$1001,customers!C666:$C$1001,,0)=0,"",_xlfn.XLOOKUP(C667,customers!A666:$A$1001,customers!C666:$C$1001,,0))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2">
      <c r="A668" s="2" t="s">
        <v>4250</v>
      </c>
      <c r="B668" s="3">
        <v>43987</v>
      </c>
      <c r="C668" s="2" t="s">
        <v>4251</v>
      </c>
      <c r="D668" t="s">
        <v>6168</v>
      </c>
      <c r="E668" s="2">
        <v>4</v>
      </c>
      <c r="F668" s="2" t="str">
        <f>_xlfn.XLOOKUP(C668,customers!$A$1:$A$1001,customers!$B$1:$B$1001,,0)</f>
        <v>Jermaine Branchett</v>
      </c>
      <c r="G668" s="2" t="str" cm="1">
        <f t="array" ref="G668">IF(_xlfn.XLOOKUP(C668,customers!A667:$A$1001,customers!C667:$C$1001,,0)=0,"",_xlfn.XLOOKUP(C668,customers!A667:$A$1001,customers!C667:$C$1001,,0))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2">
      <c r="A669" s="2" t="s">
        <v>4256</v>
      </c>
      <c r="B669" s="3">
        <v>44451</v>
      </c>
      <c r="C669" s="2" t="s">
        <v>4257</v>
      </c>
      <c r="D669" t="s">
        <v>6147</v>
      </c>
      <c r="E669" s="2">
        <v>6</v>
      </c>
      <c r="F669" s="2" t="str">
        <f>_xlfn.XLOOKUP(C669,customers!$A$1:$A$1001,customers!$B$1:$B$1001,,0)</f>
        <v>Nissie Rudland</v>
      </c>
      <c r="G669" s="2" t="str" cm="1">
        <f t="array" ref="G669">IF(_xlfn.XLOOKUP(C669,customers!A668:$A$1001,customers!C668:$C$1001,,0)=0,"",_xlfn.XLOOKUP(C669,customers!A668:$A$1001,customers!C668:$C$1001,,0))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2">
      <c r="A670" s="2" t="s">
        <v>4262</v>
      </c>
      <c r="B670" s="3">
        <v>44636</v>
      </c>
      <c r="C670" s="2" t="s">
        <v>4263</v>
      </c>
      <c r="D670" t="s">
        <v>6142</v>
      </c>
      <c r="E670" s="2">
        <v>5</v>
      </c>
      <c r="F670" s="2" t="str">
        <f>_xlfn.XLOOKUP(C670,customers!$A$1:$A$1001,customers!$B$1:$B$1001,,0)</f>
        <v>Janella Millett</v>
      </c>
      <c r="G670" s="2" t="str" cm="1">
        <f t="array" ref="G670">IF(_xlfn.XLOOKUP(C670,customers!A669:$A$1001,customers!C669:$C$1001,,0)=0,"",_xlfn.XLOOKUP(C670,customers!A669:$A$1001,customers!C669:$C$1001,,0))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2">
      <c r="A671" s="2" t="s">
        <v>4268</v>
      </c>
      <c r="B671" s="3">
        <v>44551</v>
      </c>
      <c r="C671" s="2" t="s">
        <v>4269</v>
      </c>
      <c r="D671" t="s">
        <v>6181</v>
      </c>
      <c r="E671" s="2">
        <v>2</v>
      </c>
      <c r="F671" s="2" t="str">
        <f>_xlfn.XLOOKUP(C671,customers!$A$1:$A$1001,customers!$B$1:$B$1001,,0)</f>
        <v>Ferdie Tourry</v>
      </c>
      <c r="G671" s="2" t="str" cm="1">
        <f t="array" ref="G671">IF(_xlfn.XLOOKUP(C671,customers!A670:$A$1001,customers!C670:$C$1001,,0)=0,"",_xlfn.XLOOKUP(C671,customers!A670:$A$1001,customers!C670:$C$1001,,0))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2">
      <c r="A672" s="2" t="s">
        <v>4274</v>
      </c>
      <c r="B672" s="3">
        <v>43606</v>
      </c>
      <c r="C672" s="2" t="s">
        <v>4275</v>
      </c>
      <c r="D672" t="s">
        <v>6159</v>
      </c>
      <c r="E672" s="2">
        <v>3</v>
      </c>
      <c r="F672" s="2" t="str">
        <f>_xlfn.XLOOKUP(C672,customers!$A$1:$A$1001,customers!$B$1:$B$1001,,0)</f>
        <v>Cecil Weatherall</v>
      </c>
      <c r="G672" s="2" t="str" cm="1">
        <f t="array" ref="G672">IF(_xlfn.XLOOKUP(C672,customers!A671:$A$1001,customers!C671:$C$1001,,0)=0,"",_xlfn.XLOOKUP(C672,customers!A671:$A$1001,customers!C671:$C$1001,,0))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2">
      <c r="A673" s="2" t="s">
        <v>4280</v>
      </c>
      <c r="B673" s="3">
        <v>44495</v>
      </c>
      <c r="C673" s="2" t="s">
        <v>4281</v>
      </c>
      <c r="D673" t="s">
        <v>6179</v>
      </c>
      <c r="E673" s="2">
        <v>5</v>
      </c>
      <c r="F673" s="2" t="str">
        <f>_xlfn.XLOOKUP(C673,customers!$A$1:$A$1001,customers!$B$1:$B$1001,,0)</f>
        <v>Gale Heindrick</v>
      </c>
      <c r="G673" s="2" t="str" cm="1">
        <f t="array" ref="G673">IF(_xlfn.XLOOKUP(C673,customers!A672:$A$1001,customers!C672:$C$1001,,0)=0,"",_xlfn.XLOOKUP(C673,customers!A672:$A$1001,customers!C672:$C$1001,,0))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2">
      <c r="A674" s="2" t="s">
        <v>4286</v>
      </c>
      <c r="B674" s="3">
        <v>43916</v>
      </c>
      <c r="C674" s="2" t="s">
        <v>4287</v>
      </c>
      <c r="D674" t="s">
        <v>6160</v>
      </c>
      <c r="E674" s="2">
        <v>5</v>
      </c>
      <c r="F674" s="2" t="str">
        <f>_xlfn.XLOOKUP(C674,customers!$A$1:$A$1001,customers!$B$1:$B$1001,,0)</f>
        <v>Layne Imason</v>
      </c>
      <c r="G674" s="2" t="str" cm="1">
        <f t="array" ref="G674">IF(_xlfn.XLOOKUP(C674,customers!A673:$A$1001,customers!C673:$C$1001,,0)=0,"",_xlfn.XLOOKUP(C674,customers!A673:$A$1001,customers!C673:$C$1001,,0))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2">
      <c r="A675" s="2" t="s">
        <v>4291</v>
      </c>
      <c r="B675" s="3">
        <v>44118</v>
      </c>
      <c r="C675" s="2" t="s">
        <v>4292</v>
      </c>
      <c r="D675" t="s">
        <v>6141</v>
      </c>
      <c r="E675" s="2">
        <v>6</v>
      </c>
      <c r="F675" s="2" t="str">
        <f>_xlfn.XLOOKUP(C675,customers!$A$1:$A$1001,customers!$B$1:$B$1001,,0)</f>
        <v>Hazel Saill</v>
      </c>
      <c r="G675" s="2" t="str" cm="1">
        <f t="array" ref="G675">IF(_xlfn.XLOOKUP(C675,customers!A674:$A$1001,customers!C674:$C$1001,,0)=0,"",_xlfn.XLOOKUP(C675,customers!A674:$A$1001,customers!C674:$C$1001,,0))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2">
      <c r="A676" s="2" t="s">
        <v>4297</v>
      </c>
      <c r="B676" s="3">
        <v>44543</v>
      </c>
      <c r="C676" s="2" t="s">
        <v>4298</v>
      </c>
      <c r="D676" t="s">
        <v>6182</v>
      </c>
      <c r="E676" s="2">
        <v>6</v>
      </c>
      <c r="F676" s="2" t="str">
        <f>_xlfn.XLOOKUP(C676,customers!$A$1:$A$1001,customers!$B$1:$B$1001,,0)</f>
        <v>Hermann Larvor</v>
      </c>
      <c r="G676" s="2" t="str" cm="1">
        <f t="array" ref="G676">IF(_xlfn.XLOOKUP(C676,customers!A675:$A$1001,customers!C675:$C$1001,,0)=0,"",_xlfn.XLOOKUP(C676,customers!A675:$A$1001,customers!C675:$C$1001,,0))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2">
      <c r="A677" s="2" t="s">
        <v>4303</v>
      </c>
      <c r="B677" s="3">
        <v>44263</v>
      </c>
      <c r="C677" s="2" t="s">
        <v>4304</v>
      </c>
      <c r="D677" t="s">
        <v>6165</v>
      </c>
      <c r="E677" s="2">
        <v>4</v>
      </c>
      <c r="F677" s="2" t="str">
        <f>_xlfn.XLOOKUP(C677,customers!$A$1:$A$1001,customers!$B$1:$B$1001,,0)</f>
        <v>Terri Lyford</v>
      </c>
      <c r="G677" s="2" t="str" cm="1">
        <f t="array" ref="G677">IF(_xlfn.XLOOKUP(C677,customers!A676:$A$1001,customers!C676:$C$1001,,0)=0,"",_xlfn.XLOOKUP(C677,customers!A676:$A$1001,customers!C676:$C$1001,,0))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2">
      <c r="A678" s="2" t="s">
        <v>4308</v>
      </c>
      <c r="B678" s="3">
        <v>44217</v>
      </c>
      <c r="C678" s="2" t="s">
        <v>4309</v>
      </c>
      <c r="D678" t="s">
        <v>6161</v>
      </c>
      <c r="E678" s="2">
        <v>5</v>
      </c>
      <c r="F678" s="2" t="str">
        <f>_xlfn.XLOOKUP(C678,customers!$A$1:$A$1001,customers!$B$1:$B$1001,,0)</f>
        <v>Gabey Cogan</v>
      </c>
      <c r="G678" s="2" t="str" cm="1">
        <f t="array" ref="G678">IF(_xlfn.XLOOKUP(C678,customers!A677:$A$1001,customers!C677:$C$1001,,0)=0,"",_xlfn.XLOOKUP(C678,customers!A677:$A$1001,customers!C677:$C$1001,,0))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2">
      <c r="A679" s="2" t="s">
        <v>4313</v>
      </c>
      <c r="B679" s="3">
        <v>44206</v>
      </c>
      <c r="C679" s="2" t="s">
        <v>4314</v>
      </c>
      <c r="D679" t="s">
        <v>6160</v>
      </c>
      <c r="E679" s="2">
        <v>5</v>
      </c>
      <c r="F679" s="2" t="str">
        <f>_xlfn.XLOOKUP(C679,customers!$A$1:$A$1001,customers!$B$1:$B$1001,,0)</f>
        <v>Charin Penwarden</v>
      </c>
      <c r="G679" s="2" t="str" cm="1">
        <f t="array" ref="G679">IF(_xlfn.XLOOKUP(C679,customers!A678:$A$1001,customers!C678:$C$1001,,0)=0,"",_xlfn.XLOOKUP(C679,customers!A678:$A$1001,customers!C678:$C$1001,,0))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2">
      <c r="A680" s="2" t="s">
        <v>4319</v>
      </c>
      <c r="B680" s="3">
        <v>44281</v>
      </c>
      <c r="C680" s="2" t="s">
        <v>4320</v>
      </c>
      <c r="D680" t="s">
        <v>6182</v>
      </c>
      <c r="E680" s="2">
        <v>6</v>
      </c>
      <c r="F680" s="2" t="str">
        <f>_xlfn.XLOOKUP(C680,customers!$A$1:$A$1001,customers!$B$1:$B$1001,,0)</f>
        <v>Milty Middis</v>
      </c>
      <c r="G680" s="2" t="str" cm="1">
        <f t="array" ref="G680">IF(_xlfn.XLOOKUP(C680,customers!A679:$A$1001,customers!C679:$C$1001,,0)=0,"",_xlfn.XLOOKUP(C680,customers!A679:$A$1001,customers!C679:$C$1001,,0))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2">
      <c r="A681" s="2" t="s">
        <v>4325</v>
      </c>
      <c r="B681" s="3">
        <v>44645</v>
      </c>
      <c r="C681" s="2" t="s">
        <v>4326</v>
      </c>
      <c r="D681" t="s">
        <v>6142</v>
      </c>
      <c r="E681" s="2">
        <v>1</v>
      </c>
      <c r="F681" s="2" t="str">
        <f>_xlfn.XLOOKUP(C681,customers!$A$1:$A$1001,customers!$B$1:$B$1001,,0)</f>
        <v>Adrianne Vairow</v>
      </c>
      <c r="G681" s="2" t="str" cm="1">
        <f t="array" ref="G681">IF(_xlfn.XLOOKUP(C681,customers!A680:$A$1001,customers!C680:$C$1001,,0)=0,"",_xlfn.XLOOKUP(C681,customers!A680:$A$1001,customers!C680:$C$1001,,0))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2">
      <c r="A682" s="2" t="s">
        <v>4331</v>
      </c>
      <c r="B682" s="3">
        <v>44399</v>
      </c>
      <c r="C682" s="2" t="s">
        <v>4332</v>
      </c>
      <c r="D682" t="s">
        <v>6155</v>
      </c>
      <c r="E682" s="2">
        <v>5</v>
      </c>
      <c r="F682" s="2" t="str">
        <f>_xlfn.XLOOKUP(C682,customers!$A$1:$A$1001,customers!$B$1:$B$1001,,0)</f>
        <v>Anjanette Goldie</v>
      </c>
      <c r="G682" s="2" t="str" cm="1">
        <f t="array" ref="G682">IF(_xlfn.XLOOKUP(C682,customers!A681:$A$1001,customers!C681:$C$1001,,0)=0,"",_xlfn.XLOOKUP(C682,customers!A681:$A$1001,customers!C681:$C$1001,,0))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2">
      <c r="A683" s="2" t="s">
        <v>4336</v>
      </c>
      <c r="B683" s="3">
        <v>44080</v>
      </c>
      <c r="C683" s="2" t="s">
        <v>4337</v>
      </c>
      <c r="D683" t="s">
        <v>6145</v>
      </c>
      <c r="E683" s="2">
        <v>2</v>
      </c>
      <c r="F683" s="2" t="str">
        <f>_xlfn.XLOOKUP(C683,customers!$A$1:$A$1001,customers!$B$1:$B$1001,,0)</f>
        <v>Nicky Ayris</v>
      </c>
      <c r="G683" s="2" t="str" cm="1">
        <f t="array" ref="G683">IF(_xlfn.XLOOKUP(C683,customers!A682:$A$1001,customers!C682:$C$1001,,0)=0,"",_xlfn.XLOOKUP(C683,customers!A682:$A$1001,customers!C682:$C$1001,,0))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2">
      <c r="A684" s="2" t="s">
        <v>4342</v>
      </c>
      <c r="B684" s="3">
        <v>43827</v>
      </c>
      <c r="C684" s="2" t="s">
        <v>4343</v>
      </c>
      <c r="D684" t="s">
        <v>6156</v>
      </c>
      <c r="E684" s="2">
        <v>2</v>
      </c>
      <c r="F684" s="2" t="str">
        <f>_xlfn.XLOOKUP(C684,customers!$A$1:$A$1001,customers!$B$1:$B$1001,,0)</f>
        <v>Laryssa Benediktovich</v>
      </c>
      <c r="G684" s="2" t="str" cm="1">
        <f t="array" ref="G684">IF(_xlfn.XLOOKUP(C684,customers!A683:$A$1001,customers!C683:$C$1001,,0)=0,"",_xlfn.XLOOKUP(C684,customers!A683:$A$1001,customers!C683:$C$1001,,0))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2">
      <c r="A685" s="2" t="s">
        <v>4348</v>
      </c>
      <c r="B685" s="3">
        <v>43941</v>
      </c>
      <c r="C685" s="2" t="s">
        <v>4349</v>
      </c>
      <c r="D685" t="s">
        <v>6169</v>
      </c>
      <c r="E685" s="2">
        <v>6</v>
      </c>
      <c r="F685" s="2" t="str">
        <f>_xlfn.XLOOKUP(C685,customers!$A$1:$A$1001,customers!$B$1:$B$1001,,0)</f>
        <v>Theo Jacobovitz</v>
      </c>
      <c r="G685" s="2" t="str" cm="1">
        <f t="array" ref="G685">IF(_xlfn.XLOOKUP(C685,customers!A684:$A$1001,customers!C684:$C$1001,,0)=0,"",_xlfn.XLOOKUP(C685,customers!A684:$A$1001,customers!C684:$C$1001,,0))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2">
      <c r="A686" s="2" t="s">
        <v>4354</v>
      </c>
      <c r="B686" s="3">
        <v>43517</v>
      </c>
      <c r="C686" s="2" t="s">
        <v>4355</v>
      </c>
      <c r="D686" t="s">
        <v>6179</v>
      </c>
      <c r="E686" s="2">
        <v>6</v>
      </c>
      <c r="F686" s="2" t="str">
        <f>_xlfn.XLOOKUP(C686,customers!$A$1:$A$1001,customers!$B$1:$B$1001,,0)</f>
        <v>Becca Ableson</v>
      </c>
      <c r="G686" s="2" t="str" cm="1">
        <f t="array" ref="G686">IF(_xlfn.XLOOKUP(C686,customers!A685:$A$1001,customers!C685:$C$1001,,0)=0,"",_xlfn.XLOOKUP(C686,customers!A685:$A$1001,customers!C685:$C$1001,,0))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2">
      <c r="A687" s="2" t="s">
        <v>4359</v>
      </c>
      <c r="B687" s="3">
        <v>44637</v>
      </c>
      <c r="C687" s="2" t="s">
        <v>4360</v>
      </c>
      <c r="D687" t="s">
        <v>6164</v>
      </c>
      <c r="E687" s="2">
        <v>2</v>
      </c>
      <c r="F687" s="2" t="str">
        <f>_xlfn.XLOOKUP(C687,customers!$A$1:$A$1001,customers!$B$1:$B$1001,,0)</f>
        <v>Jeno Druitt</v>
      </c>
      <c r="G687" s="2" t="str" cm="1">
        <f t="array" ref="G687">IF(_xlfn.XLOOKUP(C687,customers!A686:$A$1001,customers!C686:$C$1001,,0)=0,"",_xlfn.XLOOKUP(C687,customers!A686:$A$1001,customers!C686:$C$1001,,0))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2">
      <c r="A688" s="2" t="s">
        <v>4365</v>
      </c>
      <c r="B688" s="3">
        <v>44330</v>
      </c>
      <c r="C688" s="2" t="s">
        <v>4366</v>
      </c>
      <c r="D688" t="s">
        <v>6163</v>
      </c>
      <c r="E688" s="2">
        <v>3</v>
      </c>
      <c r="F688" s="2" t="str">
        <f>_xlfn.XLOOKUP(C688,customers!$A$1:$A$1001,customers!$B$1:$B$1001,,0)</f>
        <v>Deonne Shortall</v>
      </c>
      <c r="G688" s="2" t="str" cm="1">
        <f t="array" ref="G688">IF(_xlfn.XLOOKUP(C688,customers!A687:$A$1001,customers!C687:$C$1001,,0)=0,"",_xlfn.XLOOKUP(C688,customers!A687:$A$1001,customers!C687:$C$1001,,0))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2">
      <c r="A689" s="2" t="s">
        <v>4371</v>
      </c>
      <c r="B689" s="3">
        <v>43471</v>
      </c>
      <c r="C689" s="2" t="s">
        <v>4372</v>
      </c>
      <c r="D689" t="s">
        <v>6139</v>
      </c>
      <c r="E689" s="2">
        <v>2</v>
      </c>
      <c r="F689" s="2" t="str">
        <f>_xlfn.XLOOKUP(C689,customers!$A$1:$A$1001,customers!$B$1:$B$1001,,0)</f>
        <v>Wilton Cottier</v>
      </c>
      <c r="G689" s="2" t="str" cm="1">
        <f t="array" ref="G689">IF(_xlfn.XLOOKUP(C689,customers!A688:$A$1001,customers!C688:$C$1001,,0)=0,"",_xlfn.XLOOKUP(C689,customers!A688:$A$1001,customers!C688:$C$1001,,0))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2">
      <c r="A690" s="2" t="s">
        <v>4377</v>
      </c>
      <c r="B690" s="3">
        <v>43579</v>
      </c>
      <c r="C690" s="2" t="s">
        <v>4378</v>
      </c>
      <c r="D690" t="s">
        <v>6140</v>
      </c>
      <c r="E690" s="2">
        <v>5</v>
      </c>
      <c r="F690" s="2" t="str">
        <f>_xlfn.XLOOKUP(C690,customers!$A$1:$A$1001,customers!$B$1:$B$1001,,0)</f>
        <v>Kevan Grinsted</v>
      </c>
      <c r="G690" s="2" t="str" cm="1">
        <f t="array" ref="G690">IF(_xlfn.XLOOKUP(C690,customers!A689:$A$1001,customers!C689:$C$1001,,0)=0,"",_xlfn.XLOOKUP(C690,customers!A689:$A$1001,customers!C689:$C$1001,,0))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2">
      <c r="A691" s="2" t="s">
        <v>4383</v>
      </c>
      <c r="B691" s="3">
        <v>44346</v>
      </c>
      <c r="C691" s="2" t="s">
        <v>4384</v>
      </c>
      <c r="D691" t="s">
        <v>6157</v>
      </c>
      <c r="E691" s="2">
        <v>5</v>
      </c>
      <c r="F691" s="2" t="str">
        <f>_xlfn.XLOOKUP(C691,customers!$A$1:$A$1001,customers!$B$1:$B$1001,,0)</f>
        <v>Dionne Skyner</v>
      </c>
      <c r="G691" s="2" t="str" cm="1">
        <f t="array" ref="G691">IF(_xlfn.XLOOKUP(C691,customers!A690:$A$1001,customers!C690:$C$1001,,0)=0,"",_xlfn.XLOOKUP(C691,customers!A690:$A$1001,customers!C690:$C$1001,,0))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2">
      <c r="A692" s="2" t="s">
        <v>4389</v>
      </c>
      <c r="B692" s="3">
        <v>44754</v>
      </c>
      <c r="C692" s="2" t="s">
        <v>4390</v>
      </c>
      <c r="D692" t="s">
        <v>6165</v>
      </c>
      <c r="E692" s="2">
        <v>6</v>
      </c>
      <c r="F692" s="2" t="str">
        <f>_xlfn.XLOOKUP(C692,customers!$A$1:$A$1001,customers!$B$1:$B$1001,,0)</f>
        <v>Francesco Dressel</v>
      </c>
      <c r="G692" s="2" t="str" cm="1">
        <f t="array" ref="G692">IF(_xlfn.XLOOKUP(C692,customers!A691:$A$1001,customers!C691:$C$1001,,0)=0,"",_xlfn.XLOOKUP(C692,customers!A691:$A$1001,customers!C691:$C$1001,,0))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2">
      <c r="A693" s="2" t="s">
        <v>4393</v>
      </c>
      <c r="B693" s="3">
        <v>44227</v>
      </c>
      <c r="C693" s="2" t="s">
        <v>4434</v>
      </c>
      <c r="D693" t="s">
        <v>6155</v>
      </c>
      <c r="E693" s="2">
        <v>2</v>
      </c>
      <c r="F693" s="2" t="str">
        <f>_xlfn.XLOOKUP(C693,customers!$A$1:$A$1001,customers!$B$1:$B$1001,,0)</f>
        <v>Jimmy Dymoke</v>
      </c>
      <c r="G693" s="2" t="str" cm="1">
        <f t="array" ref="G693">IF(_xlfn.XLOOKUP(C693,customers!A692:$A$1001,customers!C692:$C$1001,,0)=0,"",_xlfn.XLOOKUP(C693,customers!A692:$A$1001,customers!C692:$C$1001,,0))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2">
      <c r="A694" s="2" t="s">
        <v>4399</v>
      </c>
      <c r="B694" s="3">
        <v>43720</v>
      </c>
      <c r="C694" s="2" t="s">
        <v>4400</v>
      </c>
      <c r="D694" t="s">
        <v>6143</v>
      </c>
      <c r="E694" s="2">
        <v>1</v>
      </c>
      <c r="F694" s="2" t="str">
        <f>_xlfn.XLOOKUP(C694,customers!$A$1:$A$1001,customers!$B$1:$B$1001,,0)</f>
        <v>Ambrosio Weinmann</v>
      </c>
      <c r="G694" s="2" t="str" cm="1">
        <f t="array" ref="G694">IF(_xlfn.XLOOKUP(C694,customers!A693:$A$1001,customers!C693:$C$1001,,0)=0,"",_xlfn.XLOOKUP(C694,customers!A693:$A$1001,customers!C693:$C$1001,,0))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2">
      <c r="A695" s="2" t="s">
        <v>4405</v>
      </c>
      <c r="B695" s="3">
        <v>44012</v>
      </c>
      <c r="C695" s="2" t="s">
        <v>4406</v>
      </c>
      <c r="D695" t="s">
        <v>6175</v>
      </c>
      <c r="E695" s="2">
        <v>2</v>
      </c>
      <c r="F695" s="2" t="str">
        <f>_xlfn.XLOOKUP(C695,customers!$A$1:$A$1001,customers!$B$1:$B$1001,,0)</f>
        <v>Elden Andriessen</v>
      </c>
      <c r="G695" s="2" t="str" cm="1">
        <f t="array" ref="G695">IF(_xlfn.XLOOKUP(C695,customers!A694:$A$1001,customers!C694:$C$1001,,0)=0,"",_xlfn.XLOOKUP(C695,customers!A694:$A$1001,customers!C694:$C$1001,,0))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2">
      <c r="A696" s="2" t="s">
        <v>4411</v>
      </c>
      <c r="B696" s="3">
        <v>43915</v>
      </c>
      <c r="C696" s="2" t="s">
        <v>4412</v>
      </c>
      <c r="D696" t="s">
        <v>6144</v>
      </c>
      <c r="E696" s="2">
        <v>5</v>
      </c>
      <c r="F696" s="2" t="str">
        <f>_xlfn.XLOOKUP(C696,customers!$A$1:$A$1001,customers!$B$1:$B$1001,,0)</f>
        <v>Roxie Deaconson</v>
      </c>
      <c r="G696" s="2" t="str" cm="1">
        <f t="array" ref="G696">IF(_xlfn.XLOOKUP(C696,customers!A695:$A$1001,customers!C695:$C$1001,,0)=0,"",_xlfn.XLOOKUP(C696,customers!A695:$A$1001,customers!C695:$C$1001,,0))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2">
      <c r="A697" s="2" t="s">
        <v>4417</v>
      </c>
      <c r="B697" s="3">
        <v>44300</v>
      </c>
      <c r="C697" s="2" t="s">
        <v>4418</v>
      </c>
      <c r="D697" t="s">
        <v>6164</v>
      </c>
      <c r="E697" s="2">
        <v>5</v>
      </c>
      <c r="F697" s="2" t="str">
        <f>_xlfn.XLOOKUP(C697,customers!$A$1:$A$1001,customers!$B$1:$B$1001,,0)</f>
        <v>Davida Caro</v>
      </c>
      <c r="G697" s="2" t="str" cm="1">
        <f t="array" ref="G697">IF(_xlfn.XLOOKUP(C697,customers!A696:$A$1001,customers!C696:$C$1001,,0)=0,"",_xlfn.XLOOKUP(C697,customers!A696:$A$1001,customers!C696:$C$1001,,0))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2">
      <c r="A698" s="2" t="s">
        <v>4423</v>
      </c>
      <c r="B698" s="3">
        <v>43693</v>
      </c>
      <c r="C698" s="2" t="s">
        <v>4424</v>
      </c>
      <c r="D698" t="s">
        <v>6169</v>
      </c>
      <c r="E698" s="2">
        <v>4</v>
      </c>
      <c r="F698" s="2" t="str">
        <f>_xlfn.XLOOKUP(C698,customers!$A$1:$A$1001,customers!$B$1:$B$1001,,0)</f>
        <v>Johna Bluck</v>
      </c>
      <c r="G698" s="2" t="str" cm="1">
        <f t="array" ref="G698">IF(_xlfn.XLOOKUP(C698,customers!A697:$A$1001,customers!C697:$C$1001,,0)=0,"",_xlfn.XLOOKUP(C698,customers!A697:$A$1001,customers!C697:$C$1001,,0))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2">
      <c r="A699" s="2" t="s">
        <v>4429</v>
      </c>
      <c r="B699" s="3">
        <v>44547</v>
      </c>
      <c r="C699" s="2" t="s">
        <v>4430</v>
      </c>
      <c r="D699" t="s">
        <v>6157</v>
      </c>
      <c r="E699" s="2">
        <v>3</v>
      </c>
      <c r="F699" s="2" t="str">
        <f>_xlfn.XLOOKUP(C699,customers!$A$1:$A$1001,customers!$B$1:$B$1001,,0)</f>
        <v>Myrle Dearden</v>
      </c>
      <c r="G699" s="2" t="str" cm="1">
        <f t="array" ref="G699">IF(_xlfn.XLOOKUP(C699,customers!A698:$A$1001,customers!C698:$C$1001,,0)=0,"",_xlfn.XLOOKUP(C699,customers!A698:$A$1001,customers!C698:$C$1001,,0))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2">
      <c r="A700" s="2" t="s">
        <v>4433</v>
      </c>
      <c r="B700" s="3">
        <v>43830</v>
      </c>
      <c r="C700" s="2" t="s">
        <v>4434</v>
      </c>
      <c r="D700" t="s">
        <v>6143</v>
      </c>
      <c r="E700" s="2">
        <v>2</v>
      </c>
      <c r="F700" s="2" t="str">
        <f>_xlfn.XLOOKUP(C700,customers!$A$1:$A$1001,customers!$B$1:$B$1001,,0)</f>
        <v>Jimmy Dymoke</v>
      </c>
      <c r="G700" s="2" t="str" cm="1">
        <f t="array" ref="G700">IF(_xlfn.XLOOKUP(C700,customers!A699:$A$1001,customers!C699:$C$1001,,0)=0,"",_xlfn.XLOOKUP(C700,customers!A699:$A$1001,customers!C699:$C$1001,,0))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2">
      <c r="A701" s="2" t="s">
        <v>4439</v>
      </c>
      <c r="B701" s="3">
        <v>44298</v>
      </c>
      <c r="C701" s="2" t="s">
        <v>4440</v>
      </c>
      <c r="D701" t="s">
        <v>6158</v>
      </c>
      <c r="E701" s="2">
        <v>4</v>
      </c>
      <c r="F701" s="2" t="str">
        <f>_xlfn.XLOOKUP(C701,customers!$A$1:$A$1001,customers!$B$1:$B$1001,,0)</f>
        <v>Orland Tadman</v>
      </c>
      <c r="G701" s="2" t="str" cm="1">
        <f t="array" ref="G701">IF(_xlfn.XLOOKUP(C701,customers!A700:$A$1001,customers!C700:$C$1001,,0)=0,"",_xlfn.XLOOKUP(C701,customers!A700:$A$1001,customers!C700:$C$1001,,0))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2">
      <c r="A702" s="2" t="s">
        <v>4445</v>
      </c>
      <c r="B702" s="3">
        <v>43736</v>
      </c>
      <c r="C702" s="2" t="s">
        <v>4446</v>
      </c>
      <c r="D702" t="s">
        <v>6161</v>
      </c>
      <c r="E702" s="2">
        <v>2</v>
      </c>
      <c r="F702" s="2" t="str">
        <f>_xlfn.XLOOKUP(C702,customers!$A$1:$A$1001,customers!$B$1:$B$1001,,0)</f>
        <v>Barrett Gudde</v>
      </c>
      <c r="G702" s="2" t="str" cm="1">
        <f t="array" ref="G702">IF(_xlfn.XLOOKUP(C702,customers!A701:$A$1001,customers!C701:$C$1001,,0)=0,"",_xlfn.XLOOKUP(C702,customers!A701:$A$1001,customers!C701:$C$1001,,0))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2">
      <c r="A703" s="2" t="s">
        <v>4450</v>
      </c>
      <c r="B703" s="3">
        <v>44727</v>
      </c>
      <c r="C703" s="2" t="s">
        <v>4451</v>
      </c>
      <c r="D703" t="s">
        <v>6158</v>
      </c>
      <c r="E703" s="2">
        <v>5</v>
      </c>
      <c r="F703" s="2" t="str">
        <f>_xlfn.XLOOKUP(C703,customers!$A$1:$A$1001,customers!$B$1:$B$1001,,0)</f>
        <v>Nathan Sictornes</v>
      </c>
      <c r="G703" s="2" t="str" cm="1">
        <f t="array" ref="G703">IF(_xlfn.XLOOKUP(C703,customers!A702:$A$1001,customers!C702:$C$1001,,0)=0,"",_xlfn.XLOOKUP(C703,customers!A702:$A$1001,customers!C702:$C$1001,,0))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2">
      <c r="A704" s="2" t="s">
        <v>4456</v>
      </c>
      <c r="B704" s="3">
        <v>43661</v>
      </c>
      <c r="C704" s="2" t="s">
        <v>4457</v>
      </c>
      <c r="D704" t="s">
        <v>6180</v>
      </c>
      <c r="E704" s="2">
        <v>1</v>
      </c>
      <c r="F704" s="2" t="str">
        <f>_xlfn.XLOOKUP(C704,customers!$A$1:$A$1001,customers!$B$1:$B$1001,,0)</f>
        <v>Vivyan Dunning</v>
      </c>
      <c r="G704" s="2" t="str" cm="1">
        <f t="array" ref="G704">IF(_xlfn.XLOOKUP(C704,customers!A703:$A$1001,customers!C703:$C$1001,,0)=0,"",_xlfn.XLOOKUP(C704,customers!A703:$A$1001,customers!C703:$C$1001,,0))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2">
      <c r="A705" s="2" t="s">
        <v>4461</v>
      </c>
      <c r="B705" s="3">
        <v>43506</v>
      </c>
      <c r="C705" s="2" t="s">
        <v>4462</v>
      </c>
      <c r="D705" t="s">
        <v>6165</v>
      </c>
      <c r="E705" s="2">
        <v>4</v>
      </c>
      <c r="F705" s="2" t="str">
        <f>_xlfn.XLOOKUP(C705,customers!$A$1:$A$1001,customers!$B$1:$B$1001,,0)</f>
        <v>Doralin Baison</v>
      </c>
      <c r="G705" s="2" t="str" cm="1">
        <f t="array" ref="G705">IF(_xlfn.XLOOKUP(C705,customers!A704:$A$1001,customers!C704:$C$1001,,0)=0,"",_xlfn.XLOOKUP(C705,customers!A704:$A$1001,customers!C704:$C$1001,,0))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2">
      <c r="A706" s="2" t="s">
        <v>4466</v>
      </c>
      <c r="B706" s="3">
        <v>44716</v>
      </c>
      <c r="C706" s="2" t="s">
        <v>4467</v>
      </c>
      <c r="D706" t="s">
        <v>6153</v>
      </c>
      <c r="E706" s="2">
        <v>6</v>
      </c>
      <c r="F706" s="2" t="str">
        <f>_xlfn.XLOOKUP(C706,customers!$A$1:$A$1001,customers!$B$1:$B$1001,,0)</f>
        <v>Josefina Ferens</v>
      </c>
      <c r="G706" s="2" t="str" cm="1">
        <f t="array" ref="G706">IF(_xlfn.XLOOKUP(C706,customers!A705:$A$1001,customers!C705:$C$1001,,0)=0,"",_xlfn.XLOOKUP(C706,customers!A705:$A$1001,customers!C705:$C$1001,,0))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2">
      <c r="A707" s="2" t="s">
        <v>4471</v>
      </c>
      <c r="B707" s="3">
        <v>44114</v>
      </c>
      <c r="C707" s="2" t="s">
        <v>4472</v>
      </c>
      <c r="D707" t="s">
        <v>6176</v>
      </c>
      <c r="E707" s="2">
        <v>2</v>
      </c>
      <c r="F707" s="2" t="str">
        <f>_xlfn.XLOOKUP(C707,customers!$A$1:$A$1001,customers!$B$1:$B$1001,,0)</f>
        <v>Shelley Gehring</v>
      </c>
      <c r="G707" s="2" t="str" cm="1">
        <f t="array" ref="G707">IF(_xlfn.XLOOKUP(C707,customers!A706:$A$1001,customers!C706:$C$1001,,0)=0,"",_xlfn.XLOOKUP(C707,customers!A706:$A$1001,customers!C706:$C$1001,,0))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 "Robusta", IF(I707="Exc", "Excelsa", IF(I707="Ara", "Arabica", IF(I707="Lib", "Liberica", ""))))</f>
        <v>Excelsa</v>
      </c>
      <c r="O707" t="str">
        <f t="shared" ref="O707:O770" si="35">IF(J707="M", "Medium", IF(J707="L", "Light", IF(J707="D", "Dark", "")))</f>
        <v>Light</v>
      </c>
      <c r="P707" t="str">
        <f>_xlfn.XLOOKUP(Orders[[#This Row],[Customer ID]],customers!$A$1:$A$1001,customers!$I$1:$I$1001,,0)</f>
        <v>No</v>
      </c>
    </row>
    <row r="708" spans="1:16" x14ac:dyDescent="0.2">
      <c r="A708" s="2" t="s">
        <v>4477</v>
      </c>
      <c r="B708" s="3">
        <v>44353</v>
      </c>
      <c r="C708" s="2" t="s">
        <v>4478</v>
      </c>
      <c r="D708" t="s">
        <v>6156</v>
      </c>
      <c r="E708" s="2">
        <v>3</v>
      </c>
      <c r="F708" s="2" t="str">
        <f>_xlfn.XLOOKUP(C708,customers!$A$1:$A$1001,customers!$B$1:$B$1001,,0)</f>
        <v>Barrie Fallowes</v>
      </c>
      <c r="G708" s="2" t="str" cm="1">
        <f t="array" ref="G708">IF(_xlfn.XLOOKUP(C708,customers!A707:$A$1001,customers!C707:$C$1001,,0)=0,"",_xlfn.XLOOKUP(C708,customers!A707:$A$1001,customers!C707:$C$1001,,0))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2">
      <c r="A709" s="2" t="s">
        <v>4483</v>
      </c>
      <c r="B709" s="3">
        <v>43540</v>
      </c>
      <c r="C709" s="2" t="s">
        <v>4484</v>
      </c>
      <c r="D709" t="s">
        <v>6143</v>
      </c>
      <c r="E709" s="2">
        <v>2</v>
      </c>
      <c r="F709" s="2" t="str">
        <f>_xlfn.XLOOKUP(C709,customers!$A$1:$A$1001,customers!$B$1:$B$1001,,0)</f>
        <v>Nicolas Aiton</v>
      </c>
      <c r="G709" s="2" t="str" cm="1">
        <f t="array" ref="G709">IF(_xlfn.XLOOKUP(C709,customers!A708:$A$1001,customers!C708:$C$1001,,0)=0,"",_xlfn.XLOOKUP(C709,customers!A708:$A$1001,customers!C708:$C$1001,,0))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2">
      <c r="A710" s="2" t="s">
        <v>4488</v>
      </c>
      <c r="B710" s="3">
        <v>43804</v>
      </c>
      <c r="C710" s="2" t="s">
        <v>4489</v>
      </c>
      <c r="D710" t="s">
        <v>6157</v>
      </c>
      <c r="E710" s="2">
        <v>2</v>
      </c>
      <c r="F710" s="2" t="str">
        <f>_xlfn.XLOOKUP(C710,customers!$A$1:$A$1001,customers!$B$1:$B$1001,,0)</f>
        <v>Shelli De Banke</v>
      </c>
      <c r="G710" s="2" t="str" cm="1">
        <f t="array" ref="G710">IF(_xlfn.XLOOKUP(C710,customers!A709:$A$1001,customers!C709:$C$1001,,0)=0,"",_xlfn.XLOOKUP(C710,customers!A709:$A$1001,customers!C709:$C$1001,,0))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2">
      <c r="A711" s="2" t="s">
        <v>4494</v>
      </c>
      <c r="B711" s="3">
        <v>43485</v>
      </c>
      <c r="C711" s="2" t="s">
        <v>4495</v>
      </c>
      <c r="D711" t="s">
        <v>6176</v>
      </c>
      <c r="E711" s="2">
        <v>2</v>
      </c>
      <c r="F711" s="2" t="str">
        <f>_xlfn.XLOOKUP(C711,customers!$A$1:$A$1001,customers!$B$1:$B$1001,,0)</f>
        <v>Lyell Murch</v>
      </c>
      <c r="G711" s="2" t="str" cm="1">
        <f t="array" ref="G711">IF(_xlfn.XLOOKUP(C711,customers!A710:$A$1001,customers!C710:$C$1001,,0)=0,"",_xlfn.XLOOKUP(C711,customers!A710:$A$1001,customers!C710:$C$1001,,0))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2">
      <c r="A712" s="2" t="s">
        <v>4499</v>
      </c>
      <c r="B712" s="3">
        <v>44655</v>
      </c>
      <c r="C712" s="2" t="s">
        <v>4500</v>
      </c>
      <c r="D712" t="s">
        <v>6139</v>
      </c>
      <c r="E712" s="2">
        <v>3</v>
      </c>
      <c r="F712" s="2" t="str">
        <f>_xlfn.XLOOKUP(C712,customers!$A$1:$A$1001,customers!$B$1:$B$1001,,0)</f>
        <v>Stearne Count</v>
      </c>
      <c r="G712" s="2" t="str" cm="1">
        <f t="array" ref="G712">IF(_xlfn.XLOOKUP(C712,customers!A711:$A$1001,customers!C711:$C$1001,,0)=0,"",_xlfn.XLOOKUP(C712,customers!A711:$A$1001,customers!C711:$C$1001,,0))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2">
      <c r="A713" s="2" t="s">
        <v>4505</v>
      </c>
      <c r="B713" s="3">
        <v>44600</v>
      </c>
      <c r="C713" s="2" t="s">
        <v>4506</v>
      </c>
      <c r="D713" t="s">
        <v>6174</v>
      </c>
      <c r="E713" s="2">
        <v>6</v>
      </c>
      <c r="F713" s="2" t="str">
        <f>_xlfn.XLOOKUP(C713,customers!$A$1:$A$1001,customers!$B$1:$B$1001,,0)</f>
        <v>Selia Ragles</v>
      </c>
      <c r="G713" s="2" t="str" cm="1">
        <f t="array" ref="G713">IF(_xlfn.XLOOKUP(C713,customers!A712:$A$1001,customers!C712:$C$1001,,0)=0,"",_xlfn.XLOOKUP(C713,customers!A712:$A$1001,customers!C712:$C$1001,,0))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2">
      <c r="A714" s="2" t="s">
        <v>4512</v>
      </c>
      <c r="B714" s="3">
        <v>43646</v>
      </c>
      <c r="C714" s="2" t="s">
        <v>4513</v>
      </c>
      <c r="D714" t="s">
        <v>6139</v>
      </c>
      <c r="E714" s="2">
        <v>2</v>
      </c>
      <c r="F714" s="2" t="str">
        <f>_xlfn.XLOOKUP(C714,customers!$A$1:$A$1001,customers!$B$1:$B$1001,,0)</f>
        <v>Silas Deehan</v>
      </c>
      <c r="G714" s="2" t="str" cm="1">
        <f t="array" ref="G714">IF(_xlfn.XLOOKUP(C714,customers!A713:$A$1001,customers!C713:$C$1001,,0)=0,"",_xlfn.XLOOKUP(C714,customers!A713:$A$1001,customers!C713:$C$1001,,0))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2">
      <c r="A715" s="2" t="s">
        <v>4516</v>
      </c>
      <c r="B715" s="3">
        <v>43960</v>
      </c>
      <c r="C715" s="2" t="s">
        <v>4517</v>
      </c>
      <c r="D715" t="s">
        <v>6174</v>
      </c>
      <c r="E715" s="2">
        <v>1</v>
      </c>
      <c r="F715" s="2" t="str">
        <f>_xlfn.XLOOKUP(C715,customers!$A$1:$A$1001,customers!$B$1:$B$1001,,0)</f>
        <v>Sacha Bruun</v>
      </c>
      <c r="G715" s="2" t="str" cm="1">
        <f t="array" ref="G715">IF(_xlfn.XLOOKUP(C715,customers!A714:$A$1001,customers!C714:$C$1001,,0)=0,"",_xlfn.XLOOKUP(C715,customers!A714:$A$1001,customers!C714:$C$1001,,0))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2">
      <c r="A716" s="2" t="s">
        <v>4522</v>
      </c>
      <c r="B716" s="3">
        <v>44358</v>
      </c>
      <c r="C716" s="2" t="s">
        <v>4523</v>
      </c>
      <c r="D716" t="s">
        <v>6153</v>
      </c>
      <c r="E716" s="2">
        <v>4</v>
      </c>
      <c r="F716" s="2" t="str">
        <f>_xlfn.XLOOKUP(C716,customers!$A$1:$A$1001,customers!$B$1:$B$1001,,0)</f>
        <v>Alon Pllu</v>
      </c>
      <c r="G716" s="2" t="str" cm="1">
        <f t="array" ref="G716">IF(_xlfn.XLOOKUP(C716,customers!A715:$A$1001,customers!C715:$C$1001,,0)=0,"",_xlfn.XLOOKUP(C716,customers!A715:$A$1001,customers!C715:$C$1001,,0))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2">
      <c r="A717" s="2" t="s">
        <v>4528</v>
      </c>
      <c r="B717" s="3">
        <v>44504</v>
      </c>
      <c r="C717" s="2" t="s">
        <v>4529</v>
      </c>
      <c r="D717" t="s">
        <v>6171</v>
      </c>
      <c r="E717" s="2">
        <v>6</v>
      </c>
      <c r="F717" s="2" t="str">
        <f>_xlfn.XLOOKUP(C717,customers!$A$1:$A$1001,customers!$B$1:$B$1001,,0)</f>
        <v>Gilberto Cornier</v>
      </c>
      <c r="G717" s="2" t="str" cm="1">
        <f t="array" ref="G717">IF(_xlfn.XLOOKUP(C717,customers!A716:$A$1001,customers!C716:$C$1001,,0)=0,"",_xlfn.XLOOKUP(C717,customers!A716:$A$1001,customers!C716:$C$1001,,0))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2">
      <c r="A718" s="2" t="s">
        <v>4533</v>
      </c>
      <c r="B718" s="3">
        <v>44612</v>
      </c>
      <c r="C718" s="2" t="s">
        <v>4434</v>
      </c>
      <c r="D718" t="s">
        <v>6179</v>
      </c>
      <c r="E718" s="2">
        <v>3</v>
      </c>
      <c r="F718" s="2" t="str">
        <f>_xlfn.XLOOKUP(C718,customers!$A$1:$A$1001,customers!$B$1:$B$1001,,0)</f>
        <v>Jimmy Dymoke</v>
      </c>
      <c r="G718" s="2" t="e" cm="1">
        <f t="array" ref="G718">IF(_xlfn.XLOOKUP(C718,customers!A717:$A$1001,customers!C717:$C$1001,,0)=0,"",_xlfn.XLOOKUP(C718,customers!A717:$A$1001,customers!C717:$C$1001,,0))</f>
        <v>#N/A</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2">
      <c r="A719" s="2" t="s">
        <v>4539</v>
      </c>
      <c r="B719" s="3">
        <v>43649</v>
      </c>
      <c r="C719" s="2" t="s">
        <v>4540</v>
      </c>
      <c r="D719" t="s">
        <v>6168</v>
      </c>
      <c r="E719" s="2">
        <v>3</v>
      </c>
      <c r="F719" s="2" t="str">
        <f>_xlfn.XLOOKUP(C719,customers!$A$1:$A$1001,customers!$B$1:$B$1001,,0)</f>
        <v>Willabella Harvison</v>
      </c>
      <c r="G719" s="2" t="str" cm="1">
        <f t="array" ref="G719">IF(_xlfn.XLOOKUP(C719,customers!A718:$A$1001,customers!C718:$C$1001,,0)=0,"",_xlfn.XLOOKUP(C719,customers!A718:$A$1001,customers!C718:$C$1001,,0))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2">
      <c r="A720" s="2" t="s">
        <v>4545</v>
      </c>
      <c r="B720" s="3">
        <v>44348</v>
      </c>
      <c r="C720" s="2" t="s">
        <v>4546</v>
      </c>
      <c r="D720" t="s">
        <v>6143</v>
      </c>
      <c r="E720" s="2">
        <v>3</v>
      </c>
      <c r="F720" s="2" t="str">
        <f>_xlfn.XLOOKUP(C720,customers!$A$1:$A$1001,customers!$B$1:$B$1001,,0)</f>
        <v>Darice Heaford</v>
      </c>
      <c r="G720" s="2" t="str" cm="1">
        <f t="array" ref="G720">IF(_xlfn.XLOOKUP(C720,customers!A719:$A$1001,customers!C719:$C$1001,,0)=0,"",_xlfn.XLOOKUP(C720,customers!A719:$A$1001,customers!C719:$C$1001,,0))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2">
      <c r="A721" s="2" t="s">
        <v>4551</v>
      </c>
      <c r="B721" s="3">
        <v>44150</v>
      </c>
      <c r="C721" s="2" t="s">
        <v>4552</v>
      </c>
      <c r="D721" t="s">
        <v>6170</v>
      </c>
      <c r="E721" s="2">
        <v>5</v>
      </c>
      <c r="F721" s="2" t="str">
        <f>_xlfn.XLOOKUP(C721,customers!$A$1:$A$1001,customers!$B$1:$B$1001,,0)</f>
        <v>Granger Fantham</v>
      </c>
      <c r="G721" s="2" t="str" cm="1">
        <f t="array" ref="G721">IF(_xlfn.XLOOKUP(C721,customers!A720:$A$1001,customers!C720:$C$1001,,0)=0,"",_xlfn.XLOOKUP(C721,customers!A720:$A$1001,customers!C720:$C$1001,,0))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2">
      <c r="A722" s="2" t="s">
        <v>4557</v>
      </c>
      <c r="B722" s="3">
        <v>44215</v>
      </c>
      <c r="C722" s="2" t="s">
        <v>4558</v>
      </c>
      <c r="D722" t="s">
        <v>6144</v>
      </c>
      <c r="E722" s="2">
        <v>5</v>
      </c>
      <c r="F722" s="2" t="str">
        <f>_xlfn.XLOOKUP(C722,customers!$A$1:$A$1001,customers!$B$1:$B$1001,,0)</f>
        <v>Reynolds Crookshanks</v>
      </c>
      <c r="G722" s="2" t="str" cm="1">
        <f t="array" ref="G722">IF(_xlfn.XLOOKUP(C722,customers!A721:$A$1001,customers!C721:$C$1001,,0)=0,"",_xlfn.XLOOKUP(C722,customers!A721:$A$1001,customers!C721:$C$1001,,0))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2">
      <c r="A723" s="2" t="s">
        <v>4563</v>
      </c>
      <c r="B723" s="3">
        <v>44479</v>
      </c>
      <c r="C723" s="2" t="s">
        <v>4564</v>
      </c>
      <c r="D723" t="s">
        <v>6174</v>
      </c>
      <c r="E723" s="2">
        <v>3</v>
      </c>
      <c r="F723" s="2" t="str">
        <f>_xlfn.XLOOKUP(C723,customers!$A$1:$A$1001,customers!$B$1:$B$1001,,0)</f>
        <v>Niels Leake</v>
      </c>
      <c r="G723" s="2" t="str" cm="1">
        <f t="array" ref="G723">IF(_xlfn.XLOOKUP(C723,customers!A722:$A$1001,customers!C722:$C$1001,,0)=0,"",_xlfn.XLOOKUP(C723,customers!A722:$A$1001,customers!C722:$C$1001,,0))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2">
      <c r="A724" s="2" t="s">
        <v>4569</v>
      </c>
      <c r="B724" s="3">
        <v>44620</v>
      </c>
      <c r="C724" s="2" t="s">
        <v>4570</v>
      </c>
      <c r="D724" t="s">
        <v>6183</v>
      </c>
      <c r="E724" s="2">
        <v>2</v>
      </c>
      <c r="F724" s="2" t="str">
        <f>_xlfn.XLOOKUP(C724,customers!$A$1:$A$1001,customers!$B$1:$B$1001,,0)</f>
        <v>Hetti Measures</v>
      </c>
      <c r="G724" s="2" t="str" cm="1">
        <f t="array" ref="G724">IF(_xlfn.XLOOKUP(C724,customers!A723:$A$1001,customers!C723:$C$1001,,0)=0,"",_xlfn.XLOOKUP(C724,customers!A723:$A$1001,customers!C723:$C$1001,,0))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2">
      <c r="A725" s="2" t="s">
        <v>4574</v>
      </c>
      <c r="B725" s="3">
        <v>44470</v>
      </c>
      <c r="C725" s="2" t="s">
        <v>4575</v>
      </c>
      <c r="D725" t="s">
        <v>6166</v>
      </c>
      <c r="E725" s="2">
        <v>2</v>
      </c>
      <c r="F725" s="2" t="str">
        <f>_xlfn.XLOOKUP(C725,customers!$A$1:$A$1001,customers!$B$1:$B$1001,,0)</f>
        <v>Gay Eilhersen</v>
      </c>
      <c r="G725" s="2" t="str" cm="1">
        <f t="array" ref="G725">IF(_xlfn.XLOOKUP(C725,customers!A724:$A$1001,customers!C724:$C$1001,,0)=0,"",_xlfn.XLOOKUP(C725,customers!A724:$A$1001,customers!C724:$C$1001,,0))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2">
      <c r="A726" s="2" t="s">
        <v>4580</v>
      </c>
      <c r="B726" s="3">
        <v>44076</v>
      </c>
      <c r="C726" s="2" t="s">
        <v>4581</v>
      </c>
      <c r="D726" t="s">
        <v>6152</v>
      </c>
      <c r="E726" s="2">
        <v>2</v>
      </c>
      <c r="F726" s="2" t="str">
        <f>_xlfn.XLOOKUP(C726,customers!$A$1:$A$1001,customers!$B$1:$B$1001,,0)</f>
        <v>Nico Hubert</v>
      </c>
      <c r="G726" s="2" t="str" cm="1">
        <f t="array" ref="G726">IF(_xlfn.XLOOKUP(C726,customers!A725:$A$1001,customers!C725:$C$1001,,0)=0,"",_xlfn.XLOOKUP(C726,customers!A725:$A$1001,customers!C725:$C$1001,,0))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2">
      <c r="A727" s="2" t="s">
        <v>4585</v>
      </c>
      <c r="B727" s="3">
        <v>44043</v>
      </c>
      <c r="C727" s="2" t="s">
        <v>4586</v>
      </c>
      <c r="D727" t="s">
        <v>6167</v>
      </c>
      <c r="E727" s="2">
        <v>6</v>
      </c>
      <c r="F727" s="2" t="str">
        <f>_xlfn.XLOOKUP(C727,customers!$A$1:$A$1001,customers!$B$1:$B$1001,,0)</f>
        <v>Cristina Aleixo</v>
      </c>
      <c r="G727" s="2" t="str" cm="1">
        <f t="array" ref="G727">IF(_xlfn.XLOOKUP(C727,customers!A726:$A$1001,customers!C726:$C$1001,,0)=0,"",_xlfn.XLOOKUP(C727,customers!A726:$A$1001,customers!C726:$C$1001,,0))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2">
      <c r="A728" s="2" t="s">
        <v>4591</v>
      </c>
      <c r="B728" s="3">
        <v>44571</v>
      </c>
      <c r="C728" s="2" t="s">
        <v>4592</v>
      </c>
      <c r="D728" t="s">
        <v>6164</v>
      </c>
      <c r="E728" s="2">
        <v>4</v>
      </c>
      <c r="F728" s="2" t="str">
        <f>_xlfn.XLOOKUP(C728,customers!$A$1:$A$1001,customers!$B$1:$B$1001,,0)</f>
        <v>Derrek Allpress</v>
      </c>
      <c r="G728" s="2" t="str" cm="1">
        <f t="array" ref="G728">IF(_xlfn.XLOOKUP(C728,customers!A727:$A$1001,customers!C727:$C$1001,,0)=0,"",_xlfn.XLOOKUP(C728,customers!A727:$A$1001,customers!C727:$C$1001,,0))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2">
      <c r="A729" s="2" t="s">
        <v>4596</v>
      </c>
      <c r="B729" s="3">
        <v>44264</v>
      </c>
      <c r="C729" s="2" t="s">
        <v>4597</v>
      </c>
      <c r="D729" t="s">
        <v>6146</v>
      </c>
      <c r="E729" s="2">
        <v>5</v>
      </c>
      <c r="F729" s="2" t="str">
        <f>_xlfn.XLOOKUP(C729,customers!$A$1:$A$1001,customers!$B$1:$B$1001,,0)</f>
        <v>Rikki Tomkowicz</v>
      </c>
      <c r="G729" s="2" t="str" cm="1">
        <f t="array" ref="G729">IF(_xlfn.XLOOKUP(C729,customers!A728:$A$1001,customers!C728:$C$1001,,0)=0,"",_xlfn.XLOOKUP(C729,customers!A728:$A$1001,customers!C728:$C$1001,,0))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2">
      <c r="A730" s="2" t="s">
        <v>4602</v>
      </c>
      <c r="B730" s="3">
        <v>44155</v>
      </c>
      <c r="C730" s="2" t="s">
        <v>4603</v>
      </c>
      <c r="D730" t="s">
        <v>6144</v>
      </c>
      <c r="E730" s="2">
        <v>3</v>
      </c>
      <c r="F730" s="2" t="str">
        <f>_xlfn.XLOOKUP(C730,customers!$A$1:$A$1001,customers!$B$1:$B$1001,,0)</f>
        <v>Rochette Huscroft</v>
      </c>
      <c r="G730" s="2" t="str" cm="1">
        <f t="array" ref="G730">IF(_xlfn.XLOOKUP(C730,customers!A729:$A$1001,customers!C729:$C$1001,,0)=0,"",_xlfn.XLOOKUP(C730,customers!A729:$A$1001,customers!C729:$C$1001,,0))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2">
      <c r="A731" s="2" t="s">
        <v>4608</v>
      </c>
      <c r="B731" s="3">
        <v>44634</v>
      </c>
      <c r="C731" s="2" t="s">
        <v>4609</v>
      </c>
      <c r="D731" t="s">
        <v>6159</v>
      </c>
      <c r="E731" s="2">
        <v>1</v>
      </c>
      <c r="F731" s="2" t="str">
        <f>_xlfn.XLOOKUP(C731,customers!$A$1:$A$1001,customers!$B$1:$B$1001,,0)</f>
        <v>Selle Scurrer</v>
      </c>
      <c r="G731" s="2" t="str" cm="1">
        <f t="array" ref="G731">IF(_xlfn.XLOOKUP(C731,customers!A730:$A$1001,customers!C730:$C$1001,,0)=0,"",_xlfn.XLOOKUP(C731,customers!A730:$A$1001,customers!C730:$C$1001,,0))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2">
      <c r="A732" s="2" t="s">
        <v>4614</v>
      </c>
      <c r="B732" s="3">
        <v>43475</v>
      </c>
      <c r="C732" s="2" t="s">
        <v>4615</v>
      </c>
      <c r="D732" t="s">
        <v>6164</v>
      </c>
      <c r="E732" s="2">
        <v>1</v>
      </c>
      <c r="F732" s="2" t="str">
        <f>_xlfn.XLOOKUP(C732,customers!$A$1:$A$1001,customers!$B$1:$B$1001,,0)</f>
        <v>Andie Rudram</v>
      </c>
      <c r="G732" s="2" t="str" cm="1">
        <f t="array" ref="G732">IF(_xlfn.XLOOKUP(C732,customers!A731:$A$1001,customers!C731:$C$1001,,0)=0,"",_xlfn.XLOOKUP(C732,customers!A731:$A$1001,customers!C731:$C$1001,,0))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2">
      <c r="A733" s="2" t="s">
        <v>4620</v>
      </c>
      <c r="B733" s="3">
        <v>44222</v>
      </c>
      <c r="C733" s="2" t="s">
        <v>4621</v>
      </c>
      <c r="D733" t="s">
        <v>6150</v>
      </c>
      <c r="E733" s="2">
        <v>4</v>
      </c>
      <c r="F733" s="2" t="str">
        <f>_xlfn.XLOOKUP(C733,customers!$A$1:$A$1001,customers!$B$1:$B$1001,,0)</f>
        <v>Leta Clarricoates</v>
      </c>
      <c r="G733" s="2" t="str" cm="1">
        <f t="array" ref="G733">IF(_xlfn.XLOOKUP(C733,customers!A732:$A$1001,customers!C732:$C$1001,,0)=0,"",_xlfn.XLOOKUP(C733,customers!A732:$A$1001,customers!C732:$C$1001,,0))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2">
      <c r="A734" s="2" t="s">
        <v>4625</v>
      </c>
      <c r="B734" s="3">
        <v>44312</v>
      </c>
      <c r="C734" s="2" t="s">
        <v>4626</v>
      </c>
      <c r="D734" t="s">
        <v>6184</v>
      </c>
      <c r="E734" s="2">
        <v>2</v>
      </c>
      <c r="F734" s="2" t="str">
        <f>_xlfn.XLOOKUP(C734,customers!$A$1:$A$1001,customers!$B$1:$B$1001,,0)</f>
        <v>Jacquelyn Maha</v>
      </c>
      <c r="G734" s="2" t="str" cm="1">
        <f t="array" ref="G734">IF(_xlfn.XLOOKUP(C734,customers!A733:$A$1001,customers!C733:$C$1001,,0)=0,"",_xlfn.XLOOKUP(C734,customers!A733:$A$1001,customers!C733:$C$1001,,0))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2">
      <c r="A735" s="2" t="s">
        <v>4631</v>
      </c>
      <c r="B735" s="3">
        <v>44565</v>
      </c>
      <c r="C735" s="2" t="s">
        <v>4632</v>
      </c>
      <c r="D735" t="s">
        <v>6181</v>
      </c>
      <c r="E735" s="2">
        <v>3</v>
      </c>
      <c r="F735" s="2" t="str">
        <f>_xlfn.XLOOKUP(C735,customers!$A$1:$A$1001,customers!$B$1:$B$1001,,0)</f>
        <v>Glory Clemon</v>
      </c>
      <c r="G735" s="2" t="str" cm="1">
        <f t="array" ref="G735">IF(_xlfn.XLOOKUP(C735,customers!A734:$A$1001,customers!C734:$C$1001,,0)=0,"",_xlfn.XLOOKUP(C735,customers!A734:$A$1001,customers!C734:$C$1001,,0))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2">
      <c r="A736" s="2" t="s">
        <v>4637</v>
      </c>
      <c r="B736" s="3">
        <v>43697</v>
      </c>
      <c r="C736" s="2" t="s">
        <v>4638</v>
      </c>
      <c r="D736" t="s">
        <v>6163</v>
      </c>
      <c r="E736" s="2">
        <v>5</v>
      </c>
      <c r="F736" s="2" t="str">
        <f>_xlfn.XLOOKUP(C736,customers!$A$1:$A$1001,customers!$B$1:$B$1001,,0)</f>
        <v>Alica Kift</v>
      </c>
      <c r="G736" s="2" t="str" cm="1">
        <f t="array" ref="G736">IF(_xlfn.XLOOKUP(C736,customers!A735:$A$1001,customers!C735:$C$1001,,0)=0,"",_xlfn.XLOOKUP(C736,customers!A735:$A$1001,customers!C735:$C$1001,,0))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2">
      <c r="A737" s="2" t="s">
        <v>4642</v>
      </c>
      <c r="B737" s="3">
        <v>44757</v>
      </c>
      <c r="C737" s="2" t="s">
        <v>4643</v>
      </c>
      <c r="D737" t="s">
        <v>6153</v>
      </c>
      <c r="E737" s="2">
        <v>6</v>
      </c>
      <c r="F737" s="2" t="str">
        <f>_xlfn.XLOOKUP(C737,customers!$A$1:$A$1001,customers!$B$1:$B$1001,,0)</f>
        <v>Babb Pollins</v>
      </c>
      <c r="G737" s="2" t="str" cm="1">
        <f t="array" ref="G737">IF(_xlfn.XLOOKUP(C737,customers!A736:$A$1001,customers!C736:$C$1001,,0)=0,"",_xlfn.XLOOKUP(C737,customers!A736:$A$1001,customers!C736:$C$1001,,0))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2">
      <c r="A738" s="2" t="s">
        <v>4647</v>
      </c>
      <c r="B738" s="3">
        <v>43508</v>
      </c>
      <c r="C738" s="2" t="s">
        <v>4648</v>
      </c>
      <c r="D738" t="s">
        <v>6143</v>
      </c>
      <c r="E738" s="2">
        <v>2</v>
      </c>
      <c r="F738" s="2" t="str">
        <f>_xlfn.XLOOKUP(C738,customers!$A$1:$A$1001,customers!$B$1:$B$1001,,0)</f>
        <v>Jarret Toye</v>
      </c>
      <c r="G738" s="2" t="str" cm="1">
        <f t="array" ref="G738">IF(_xlfn.XLOOKUP(C738,customers!A737:$A$1001,customers!C737:$C$1001,,0)=0,"",_xlfn.XLOOKUP(C738,customers!A737:$A$1001,customers!C737:$C$1001,,0))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2">
      <c r="A739" s="2" t="s">
        <v>4653</v>
      </c>
      <c r="B739" s="3">
        <v>44447</v>
      </c>
      <c r="C739" s="2" t="s">
        <v>4654</v>
      </c>
      <c r="D739" t="s">
        <v>6155</v>
      </c>
      <c r="E739" s="2">
        <v>5</v>
      </c>
      <c r="F739" s="2" t="str">
        <f>_xlfn.XLOOKUP(C739,customers!$A$1:$A$1001,customers!$B$1:$B$1001,,0)</f>
        <v>Carlie Linskill</v>
      </c>
      <c r="G739" s="2" t="str" cm="1">
        <f t="array" ref="G739">IF(_xlfn.XLOOKUP(C739,customers!A738:$A$1001,customers!C738:$C$1001,,0)=0,"",_xlfn.XLOOKUP(C739,customers!A738:$A$1001,customers!C738:$C$1001,,0))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2">
      <c r="A740" s="2" t="s">
        <v>4659</v>
      </c>
      <c r="B740" s="3">
        <v>43812</v>
      </c>
      <c r="C740" s="2" t="s">
        <v>4660</v>
      </c>
      <c r="D740" t="s">
        <v>6178</v>
      </c>
      <c r="E740" s="2">
        <v>3</v>
      </c>
      <c r="F740" s="2" t="str">
        <f>_xlfn.XLOOKUP(C740,customers!$A$1:$A$1001,customers!$B$1:$B$1001,,0)</f>
        <v>Natal Vigrass</v>
      </c>
      <c r="G740" s="2" t="str" cm="1">
        <f t="array" ref="G740">IF(_xlfn.XLOOKUP(C740,customers!A739:$A$1001,customers!C739:$C$1001,,0)=0,"",_xlfn.XLOOKUP(C740,customers!A739:$A$1001,customers!C739:$C$1001,,0))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2">
      <c r="A741" s="2" t="s">
        <v>4665</v>
      </c>
      <c r="B741" s="3">
        <v>44433</v>
      </c>
      <c r="C741" s="2" t="s">
        <v>4434</v>
      </c>
      <c r="D741" t="s">
        <v>6153</v>
      </c>
      <c r="E741" s="2">
        <v>5</v>
      </c>
      <c r="F741" s="2" t="str">
        <f>_xlfn.XLOOKUP(C741,customers!$A$1:$A$1001,customers!$B$1:$B$1001,,0)</f>
        <v>Jimmy Dymoke</v>
      </c>
      <c r="G741" s="2" t="e" cm="1">
        <f t="array" ref="G741">IF(_xlfn.XLOOKUP(C741,customers!A740:$A$1001,customers!C740:$C$1001,,0)=0,"",_xlfn.XLOOKUP(C741,customers!A740:$A$1001,customers!C740:$C$1001,,0))</f>
        <v>#N/A</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2">
      <c r="A742" s="2" t="s">
        <v>4670</v>
      </c>
      <c r="B742" s="3">
        <v>44643</v>
      </c>
      <c r="C742" s="2" t="s">
        <v>4671</v>
      </c>
      <c r="D742" t="s">
        <v>6173</v>
      </c>
      <c r="E742" s="2">
        <v>4</v>
      </c>
      <c r="F742" s="2" t="str">
        <f>_xlfn.XLOOKUP(C742,customers!$A$1:$A$1001,customers!$B$1:$B$1001,,0)</f>
        <v>Kandace Cragell</v>
      </c>
      <c r="G742" s="2" t="str" cm="1">
        <f t="array" ref="G742">IF(_xlfn.XLOOKUP(C742,customers!A741:$A$1001,customers!C741:$C$1001,,0)=0,"",_xlfn.XLOOKUP(C742,customers!A741:$A$1001,customers!C741:$C$1001,,0))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2">
      <c r="A743" s="2" t="s">
        <v>4676</v>
      </c>
      <c r="B743" s="3">
        <v>43566</v>
      </c>
      <c r="C743" s="2" t="s">
        <v>4677</v>
      </c>
      <c r="D743" t="s">
        <v>6159</v>
      </c>
      <c r="E743" s="2">
        <v>2</v>
      </c>
      <c r="F743" s="2" t="str">
        <f>_xlfn.XLOOKUP(C743,customers!$A$1:$A$1001,customers!$B$1:$B$1001,,0)</f>
        <v>Lyon Ibert</v>
      </c>
      <c r="G743" s="2" t="str" cm="1">
        <f t="array" ref="G743">IF(_xlfn.XLOOKUP(C743,customers!A742:$A$1001,customers!C742:$C$1001,,0)=0,"",_xlfn.XLOOKUP(C743,customers!A742:$A$1001,customers!C742:$C$1001,,0))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2">
      <c r="A744" s="2" t="s">
        <v>4682</v>
      </c>
      <c r="B744" s="3">
        <v>44133</v>
      </c>
      <c r="C744" s="2" t="s">
        <v>4683</v>
      </c>
      <c r="D744" t="s">
        <v>6162</v>
      </c>
      <c r="E744" s="2">
        <v>4</v>
      </c>
      <c r="F744" s="2" t="str">
        <f>_xlfn.XLOOKUP(C744,customers!$A$1:$A$1001,customers!$B$1:$B$1001,,0)</f>
        <v>Reese Lidgey</v>
      </c>
      <c r="G744" s="2" t="str" cm="1">
        <f t="array" ref="G744">IF(_xlfn.XLOOKUP(C744,customers!A743:$A$1001,customers!C743:$C$1001,,0)=0,"",_xlfn.XLOOKUP(C744,customers!A743:$A$1001,customers!C743:$C$1001,,0))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2">
      <c r="A745" s="2" t="s">
        <v>4688</v>
      </c>
      <c r="B745" s="3">
        <v>44042</v>
      </c>
      <c r="C745" s="2" t="s">
        <v>4689</v>
      </c>
      <c r="D745" t="s">
        <v>6158</v>
      </c>
      <c r="E745" s="2">
        <v>3</v>
      </c>
      <c r="F745" s="2" t="str">
        <f>_xlfn.XLOOKUP(C745,customers!$A$1:$A$1001,customers!$B$1:$B$1001,,0)</f>
        <v>Tersina Castagne</v>
      </c>
      <c r="G745" s="2" t="str" cm="1">
        <f t="array" ref="G745">IF(_xlfn.XLOOKUP(C745,customers!A744:$A$1001,customers!C744:$C$1001,,0)=0,"",_xlfn.XLOOKUP(C745,customers!A744:$A$1001,customers!C744:$C$1001,,0))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2">
      <c r="A746" s="2" t="s">
        <v>4694</v>
      </c>
      <c r="B746" s="3">
        <v>43539</v>
      </c>
      <c r="C746" s="2" t="s">
        <v>4695</v>
      </c>
      <c r="D746" t="s">
        <v>6174</v>
      </c>
      <c r="E746" s="2">
        <v>6</v>
      </c>
      <c r="F746" s="2" t="str">
        <f>_xlfn.XLOOKUP(C746,customers!$A$1:$A$1001,customers!$B$1:$B$1001,,0)</f>
        <v>Samuele Klaaassen</v>
      </c>
      <c r="G746" s="2" t="str" cm="1">
        <f t="array" ref="G746">IF(_xlfn.XLOOKUP(C746,customers!A745:$A$1001,customers!C745:$C$1001,,0)=0,"",_xlfn.XLOOKUP(C746,customers!A745:$A$1001,customers!C745:$C$1001,,0))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2">
      <c r="A747" s="2" t="s">
        <v>4699</v>
      </c>
      <c r="B747" s="3">
        <v>44557</v>
      </c>
      <c r="C747" s="2" t="s">
        <v>4700</v>
      </c>
      <c r="D747" t="s">
        <v>6144</v>
      </c>
      <c r="E747" s="2">
        <v>2</v>
      </c>
      <c r="F747" s="2" t="str">
        <f>_xlfn.XLOOKUP(C747,customers!$A$1:$A$1001,customers!$B$1:$B$1001,,0)</f>
        <v>Jordana Halden</v>
      </c>
      <c r="G747" s="2" t="str" cm="1">
        <f t="array" ref="G747">IF(_xlfn.XLOOKUP(C747,customers!A746:$A$1001,customers!C746:$C$1001,,0)=0,"",_xlfn.XLOOKUP(C747,customers!A746:$A$1001,customers!C746:$C$1001,,0))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2">
      <c r="A748" s="2" t="s">
        <v>4705</v>
      </c>
      <c r="B748" s="3">
        <v>43741</v>
      </c>
      <c r="C748" s="2" t="s">
        <v>4706</v>
      </c>
      <c r="D748" t="s">
        <v>6155</v>
      </c>
      <c r="E748" s="2">
        <v>3</v>
      </c>
      <c r="F748" s="2" t="str">
        <f>_xlfn.XLOOKUP(C748,customers!$A$1:$A$1001,customers!$B$1:$B$1001,,0)</f>
        <v>Hussein Olliff</v>
      </c>
      <c r="G748" s="2" t="str" cm="1">
        <f t="array" ref="G748">IF(_xlfn.XLOOKUP(C748,customers!A747:$A$1001,customers!C747:$C$1001,,0)=0,"",_xlfn.XLOOKUP(C748,customers!A747:$A$1001,customers!C747:$C$1001,,0))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2">
      <c r="A749" s="2" t="s">
        <v>4711</v>
      </c>
      <c r="B749" s="3">
        <v>43501</v>
      </c>
      <c r="C749" s="2" t="s">
        <v>4712</v>
      </c>
      <c r="D749" t="s">
        <v>6160</v>
      </c>
      <c r="E749" s="2">
        <v>4</v>
      </c>
      <c r="F749" s="2" t="str">
        <f>_xlfn.XLOOKUP(C749,customers!$A$1:$A$1001,customers!$B$1:$B$1001,,0)</f>
        <v>Teddi Quadri</v>
      </c>
      <c r="G749" s="2" t="str" cm="1">
        <f t="array" ref="G749">IF(_xlfn.XLOOKUP(C749,customers!A748:$A$1001,customers!C748:$C$1001,,0)=0,"",_xlfn.XLOOKUP(C749,customers!A748:$A$1001,customers!C748:$C$1001,,0))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2">
      <c r="A750" s="2" t="s">
        <v>4717</v>
      </c>
      <c r="B750" s="3">
        <v>44074</v>
      </c>
      <c r="C750" s="2" t="s">
        <v>4718</v>
      </c>
      <c r="D750" t="s">
        <v>6144</v>
      </c>
      <c r="E750" s="2">
        <v>2</v>
      </c>
      <c r="F750" s="2" t="str">
        <f>_xlfn.XLOOKUP(C750,customers!$A$1:$A$1001,customers!$B$1:$B$1001,,0)</f>
        <v>Felita Eshmade</v>
      </c>
      <c r="G750" s="2" t="str" cm="1">
        <f t="array" ref="G750">IF(_xlfn.XLOOKUP(C750,customers!A749:$A$1001,customers!C749:$C$1001,,0)=0,"",_xlfn.XLOOKUP(C750,customers!A749:$A$1001,customers!C749:$C$1001,,0))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2">
      <c r="A751" s="2" t="s">
        <v>4723</v>
      </c>
      <c r="B751" s="3">
        <v>44209</v>
      </c>
      <c r="C751" s="2" t="s">
        <v>4724</v>
      </c>
      <c r="D751" t="s">
        <v>6163</v>
      </c>
      <c r="E751" s="2">
        <v>2</v>
      </c>
      <c r="F751" s="2" t="str">
        <f>_xlfn.XLOOKUP(C751,customers!$A$1:$A$1001,customers!$B$1:$B$1001,,0)</f>
        <v>Melodie OIlier</v>
      </c>
      <c r="G751" s="2" t="str" cm="1">
        <f t="array" ref="G751">IF(_xlfn.XLOOKUP(C751,customers!A750:$A$1001,customers!C750:$C$1001,,0)=0,"",_xlfn.XLOOKUP(C751,customers!A750:$A$1001,customers!C750:$C$1001,,0))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2">
      <c r="A752" s="2" t="s">
        <v>4730</v>
      </c>
      <c r="B752" s="3">
        <v>44277</v>
      </c>
      <c r="C752" s="2" t="s">
        <v>4731</v>
      </c>
      <c r="D752" t="s">
        <v>6146</v>
      </c>
      <c r="E752" s="2">
        <v>1</v>
      </c>
      <c r="F752" s="2" t="str">
        <f>_xlfn.XLOOKUP(C752,customers!$A$1:$A$1001,customers!$B$1:$B$1001,,0)</f>
        <v>Hazel Iacopini</v>
      </c>
      <c r="G752" s="2" t="str" cm="1">
        <f t="array" ref="G752">IF(_xlfn.XLOOKUP(C752,customers!A751:$A$1001,customers!C751:$C$1001,,0)=0,"",_xlfn.XLOOKUP(C752,customers!A751:$A$1001,customers!C751:$C$1001,,0))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2">
      <c r="A753" s="2" t="s">
        <v>4735</v>
      </c>
      <c r="B753" s="3">
        <v>43847</v>
      </c>
      <c r="C753" s="2" t="s">
        <v>4736</v>
      </c>
      <c r="D753" t="s">
        <v>6161</v>
      </c>
      <c r="E753" s="2">
        <v>2</v>
      </c>
      <c r="F753" s="2" t="str">
        <f>_xlfn.XLOOKUP(C753,customers!$A$1:$A$1001,customers!$B$1:$B$1001,,0)</f>
        <v>Vinny Shoebotham</v>
      </c>
      <c r="G753" s="2" t="str" cm="1">
        <f t="array" ref="G753">IF(_xlfn.XLOOKUP(C753,customers!A752:$A$1001,customers!C752:$C$1001,,0)=0,"",_xlfn.XLOOKUP(C753,customers!A752:$A$1001,customers!C752:$C$1001,,0))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2">
      <c r="A754" s="2" t="s">
        <v>4741</v>
      </c>
      <c r="B754" s="3">
        <v>43648</v>
      </c>
      <c r="C754" s="2" t="s">
        <v>4742</v>
      </c>
      <c r="D754" t="s">
        <v>6141</v>
      </c>
      <c r="E754" s="2">
        <v>2</v>
      </c>
      <c r="F754" s="2" t="str">
        <f>_xlfn.XLOOKUP(C754,customers!$A$1:$A$1001,customers!$B$1:$B$1001,,0)</f>
        <v>Bran Sterke</v>
      </c>
      <c r="G754" s="2" t="str" cm="1">
        <f t="array" ref="G754">IF(_xlfn.XLOOKUP(C754,customers!A753:$A$1001,customers!C753:$C$1001,,0)=0,"",_xlfn.XLOOKUP(C754,customers!A753:$A$1001,customers!C753:$C$1001,,0))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2">
      <c r="A755" s="2" t="s">
        <v>4747</v>
      </c>
      <c r="B755" s="3">
        <v>44704</v>
      </c>
      <c r="C755" s="2" t="s">
        <v>4748</v>
      </c>
      <c r="D755" t="s">
        <v>6158</v>
      </c>
      <c r="E755" s="2">
        <v>5</v>
      </c>
      <c r="F755" s="2" t="str">
        <f>_xlfn.XLOOKUP(C755,customers!$A$1:$A$1001,customers!$B$1:$B$1001,,0)</f>
        <v>Simone Capon</v>
      </c>
      <c r="G755" s="2" t="str" cm="1">
        <f t="array" ref="G755">IF(_xlfn.XLOOKUP(C755,customers!A754:$A$1001,customers!C754:$C$1001,,0)=0,"",_xlfn.XLOOKUP(C755,customers!A754:$A$1001,customers!C754:$C$1001,,0))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2">
      <c r="A756" s="2" t="s">
        <v>4753</v>
      </c>
      <c r="B756" s="3">
        <v>44726</v>
      </c>
      <c r="C756" s="2" t="s">
        <v>4434</v>
      </c>
      <c r="D756" t="s">
        <v>6154</v>
      </c>
      <c r="E756" s="2">
        <v>6</v>
      </c>
      <c r="F756" s="2" t="str">
        <f>_xlfn.XLOOKUP(C756,customers!$A$1:$A$1001,customers!$B$1:$B$1001,,0)</f>
        <v>Jimmy Dymoke</v>
      </c>
      <c r="G756" s="2" t="e" cm="1">
        <f t="array" ref="G756">IF(_xlfn.XLOOKUP(C756,customers!A755:$A$1001,customers!C755:$C$1001,,0)=0,"",_xlfn.XLOOKUP(C756,customers!A755:$A$1001,customers!C755:$C$1001,,0))</f>
        <v>#N/A</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2">
      <c r="A757" s="2" t="s">
        <v>4758</v>
      </c>
      <c r="B757" s="3">
        <v>44397</v>
      </c>
      <c r="C757" s="2" t="s">
        <v>4759</v>
      </c>
      <c r="D757" t="s">
        <v>6145</v>
      </c>
      <c r="E757" s="2">
        <v>6</v>
      </c>
      <c r="F757" s="2" t="str">
        <f>_xlfn.XLOOKUP(C757,customers!$A$1:$A$1001,customers!$B$1:$B$1001,,0)</f>
        <v>Foster Constance</v>
      </c>
      <c r="G757" s="2" t="str" cm="1">
        <f t="array" ref="G757">IF(_xlfn.XLOOKUP(C757,customers!A756:$A$1001,customers!C756:$C$1001,,0)=0,"",_xlfn.XLOOKUP(C757,customers!A756:$A$1001,customers!C756:$C$1001,,0))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2">
      <c r="A758" s="2" t="s">
        <v>4764</v>
      </c>
      <c r="B758" s="3">
        <v>44715</v>
      </c>
      <c r="C758" s="2" t="s">
        <v>4765</v>
      </c>
      <c r="D758" t="s">
        <v>6177</v>
      </c>
      <c r="E758" s="2">
        <v>4</v>
      </c>
      <c r="F758" s="2" t="str">
        <f>_xlfn.XLOOKUP(C758,customers!$A$1:$A$1001,customers!$B$1:$B$1001,,0)</f>
        <v>Fernando Sulman</v>
      </c>
      <c r="G758" s="2" t="str" cm="1">
        <f t="array" ref="G758">IF(_xlfn.XLOOKUP(C758,customers!A757:$A$1001,customers!C757:$C$1001,,0)=0,"",_xlfn.XLOOKUP(C758,customers!A757:$A$1001,customers!C757:$C$1001,,0))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2">
      <c r="A759" s="2" t="s">
        <v>4770</v>
      </c>
      <c r="B759" s="3">
        <v>43977</v>
      </c>
      <c r="C759" s="2" t="s">
        <v>4771</v>
      </c>
      <c r="D759" t="s">
        <v>6158</v>
      </c>
      <c r="E759" s="2">
        <v>3</v>
      </c>
      <c r="F759" s="2" t="str">
        <f>_xlfn.XLOOKUP(C759,customers!$A$1:$A$1001,customers!$B$1:$B$1001,,0)</f>
        <v>Dorotea Hollyman</v>
      </c>
      <c r="G759" s="2" t="str" cm="1">
        <f t="array" ref="G759">IF(_xlfn.XLOOKUP(C759,customers!A758:$A$1001,customers!C758:$C$1001,,0)=0,"",_xlfn.XLOOKUP(C759,customers!A758:$A$1001,customers!C758:$C$1001,,0))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2">
      <c r="A760" s="2" t="s">
        <v>4776</v>
      </c>
      <c r="B760" s="3">
        <v>43672</v>
      </c>
      <c r="C760" s="2" t="s">
        <v>4777</v>
      </c>
      <c r="D760" t="s">
        <v>6177</v>
      </c>
      <c r="E760" s="2">
        <v>1</v>
      </c>
      <c r="F760" s="2" t="str">
        <f>_xlfn.XLOOKUP(C760,customers!$A$1:$A$1001,customers!$B$1:$B$1001,,0)</f>
        <v>Lorelei Nardoni</v>
      </c>
      <c r="G760" s="2" t="str" cm="1">
        <f t="array" ref="G760">IF(_xlfn.XLOOKUP(C760,customers!A759:$A$1001,customers!C759:$C$1001,,0)=0,"",_xlfn.XLOOKUP(C760,customers!A759:$A$1001,customers!C759:$C$1001,,0))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2">
      <c r="A761" s="2" t="s">
        <v>4781</v>
      </c>
      <c r="B761" s="3">
        <v>44126</v>
      </c>
      <c r="C761" s="2" t="s">
        <v>4782</v>
      </c>
      <c r="D761" t="s">
        <v>6165</v>
      </c>
      <c r="E761" s="2">
        <v>1</v>
      </c>
      <c r="F761" s="2" t="str">
        <f>_xlfn.XLOOKUP(C761,customers!$A$1:$A$1001,customers!$B$1:$B$1001,,0)</f>
        <v>Dallas Yarham</v>
      </c>
      <c r="G761" s="2" t="str" cm="1">
        <f t="array" ref="G761">IF(_xlfn.XLOOKUP(C761,customers!A760:$A$1001,customers!C760:$C$1001,,0)=0,"",_xlfn.XLOOKUP(C761,customers!A760:$A$1001,customers!C760:$C$1001,,0))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2">
      <c r="A762" s="2" t="s">
        <v>4787</v>
      </c>
      <c r="B762" s="3">
        <v>44189</v>
      </c>
      <c r="C762" s="2" t="s">
        <v>4788</v>
      </c>
      <c r="D762" t="s">
        <v>6176</v>
      </c>
      <c r="E762" s="2">
        <v>5</v>
      </c>
      <c r="F762" s="2" t="str">
        <f>_xlfn.XLOOKUP(C762,customers!$A$1:$A$1001,customers!$B$1:$B$1001,,0)</f>
        <v>Arlana Ferrea</v>
      </c>
      <c r="G762" s="2" t="str" cm="1">
        <f t="array" ref="G762">IF(_xlfn.XLOOKUP(C762,customers!A761:$A$1001,customers!C761:$C$1001,,0)=0,"",_xlfn.XLOOKUP(C762,customers!A761:$A$1001,customers!C761:$C$1001,,0))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2">
      <c r="A763" s="2" t="s">
        <v>4792</v>
      </c>
      <c r="B763" s="3">
        <v>43714</v>
      </c>
      <c r="C763" s="2" t="s">
        <v>4793</v>
      </c>
      <c r="D763" t="s">
        <v>6171</v>
      </c>
      <c r="E763" s="2">
        <v>6</v>
      </c>
      <c r="F763" s="2" t="str">
        <f>_xlfn.XLOOKUP(C763,customers!$A$1:$A$1001,customers!$B$1:$B$1001,,0)</f>
        <v>Chuck Kendrick</v>
      </c>
      <c r="G763" s="2" t="str" cm="1">
        <f t="array" ref="G763">IF(_xlfn.XLOOKUP(C763,customers!A762:$A$1001,customers!C762:$C$1001,,0)=0,"",_xlfn.XLOOKUP(C763,customers!A762:$A$1001,customers!C762:$C$1001,,0))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2">
      <c r="A764" s="2" t="s">
        <v>4797</v>
      </c>
      <c r="B764" s="3">
        <v>43563</v>
      </c>
      <c r="C764" s="2" t="s">
        <v>4798</v>
      </c>
      <c r="D764" t="s">
        <v>6160</v>
      </c>
      <c r="E764" s="2">
        <v>5</v>
      </c>
      <c r="F764" s="2" t="str">
        <f>_xlfn.XLOOKUP(C764,customers!$A$1:$A$1001,customers!$B$1:$B$1001,,0)</f>
        <v>Sharona Danilchik</v>
      </c>
      <c r="G764" s="2" t="str" cm="1">
        <f t="array" ref="G764">IF(_xlfn.XLOOKUP(C764,customers!A763:$A$1001,customers!C763:$C$1001,,0)=0,"",_xlfn.XLOOKUP(C764,customers!A763:$A$1001,customers!C763:$C$1001,,0))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2">
      <c r="A765" s="2" t="s">
        <v>4803</v>
      </c>
      <c r="B765" s="3">
        <v>44587</v>
      </c>
      <c r="C765" s="2" t="s">
        <v>4804</v>
      </c>
      <c r="D765" t="s">
        <v>6180</v>
      </c>
      <c r="E765" s="2">
        <v>3</v>
      </c>
      <c r="F765" s="2" t="str">
        <f>_xlfn.XLOOKUP(C765,customers!$A$1:$A$1001,customers!$B$1:$B$1001,,0)</f>
        <v>Sarajane Potter</v>
      </c>
      <c r="G765" s="2" t="str" cm="1">
        <f t="array" ref="G765">IF(_xlfn.XLOOKUP(C765,customers!A764:$A$1001,customers!C764:$C$1001,,0)=0,"",_xlfn.XLOOKUP(C765,customers!A764:$A$1001,customers!C764:$C$1001,,0))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2">
      <c r="A766" s="2" t="s">
        <v>4808</v>
      </c>
      <c r="B766" s="3">
        <v>43797</v>
      </c>
      <c r="C766" s="2" t="s">
        <v>4809</v>
      </c>
      <c r="D766" t="s">
        <v>6182</v>
      </c>
      <c r="E766" s="2">
        <v>6</v>
      </c>
      <c r="F766" s="2" t="str">
        <f>_xlfn.XLOOKUP(C766,customers!$A$1:$A$1001,customers!$B$1:$B$1001,,0)</f>
        <v>Bobby Folomkin</v>
      </c>
      <c r="G766" s="2" t="str" cm="1">
        <f t="array" ref="G766">IF(_xlfn.XLOOKUP(C766,customers!A765:$A$1001,customers!C765:$C$1001,,0)=0,"",_xlfn.XLOOKUP(C766,customers!A765:$A$1001,customers!C765:$C$1001,,0))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2">
      <c r="A767" s="2" t="s">
        <v>4814</v>
      </c>
      <c r="B767" s="3">
        <v>43667</v>
      </c>
      <c r="C767" s="2" t="s">
        <v>4815</v>
      </c>
      <c r="D767" t="s">
        <v>6138</v>
      </c>
      <c r="E767" s="2">
        <v>6</v>
      </c>
      <c r="F767" s="2" t="str">
        <f>_xlfn.XLOOKUP(C767,customers!$A$1:$A$1001,customers!$B$1:$B$1001,,0)</f>
        <v>Rafferty Pursglove</v>
      </c>
      <c r="G767" s="2" t="str" cm="1">
        <f t="array" ref="G767">IF(_xlfn.XLOOKUP(C767,customers!A766:$A$1001,customers!C766:$C$1001,,0)=0,"",_xlfn.XLOOKUP(C767,customers!A766:$A$1001,customers!C766:$C$1001,,0))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2">
      <c r="A768" s="2" t="s">
        <v>4814</v>
      </c>
      <c r="B768" s="3">
        <v>43667</v>
      </c>
      <c r="C768" s="2" t="s">
        <v>4815</v>
      </c>
      <c r="D768" t="s">
        <v>6180</v>
      </c>
      <c r="E768" s="2">
        <v>2</v>
      </c>
      <c r="F768" s="2" t="str">
        <f>_xlfn.XLOOKUP(C768,customers!$A$1:$A$1001,customers!$B$1:$B$1001,,0)</f>
        <v>Rafferty Pursglove</v>
      </c>
      <c r="G768" s="2" t="str" cm="1">
        <f t="array" ref="G768">IF(_xlfn.XLOOKUP(C768,customers!A767:$A$1001,customers!C767:$C$1001,,0)=0,"",_xlfn.XLOOKUP(C768,customers!A767:$A$1001,customers!C767:$C$1001,,0))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2">
      <c r="A769" s="2" t="s">
        <v>4825</v>
      </c>
      <c r="B769" s="3">
        <v>44267</v>
      </c>
      <c r="C769" s="2" t="s">
        <v>4759</v>
      </c>
      <c r="D769" t="s">
        <v>6182</v>
      </c>
      <c r="E769" s="2">
        <v>3</v>
      </c>
      <c r="F769" s="2" t="str">
        <f>_xlfn.XLOOKUP(C769,customers!$A$1:$A$1001,customers!$B$1:$B$1001,,0)</f>
        <v>Foster Constance</v>
      </c>
      <c r="G769" s="2" t="e" cm="1">
        <f t="array" ref="G769">IF(_xlfn.XLOOKUP(C769,customers!A768:$A$1001,customers!C768:$C$1001,,0)=0,"",_xlfn.XLOOKUP(C769,customers!A768:$A$1001,customers!C768:$C$1001,,0))</f>
        <v>#N/A</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2">
      <c r="A770" s="2" t="s">
        <v>4831</v>
      </c>
      <c r="B770" s="3">
        <v>44562</v>
      </c>
      <c r="C770" s="2" t="s">
        <v>4759</v>
      </c>
      <c r="D770" t="s">
        <v>6179</v>
      </c>
      <c r="E770" s="2">
        <v>2</v>
      </c>
      <c r="F770" s="2" t="str">
        <f>_xlfn.XLOOKUP(C770,customers!$A$1:$A$1001,customers!$B$1:$B$1001,,0)</f>
        <v>Foster Constance</v>
      </c>
      <c r="G770" s="2" t="e" cm="1">
        <f t="array" ref="G770">IF(_xlfn.XLOOKUP(C770,customers!A769:$A$1001,customers!C769:$C$1001,,0)=0,"",_xlfn.XLOOKUP(C770,customers!A769:$A$1001,customers!C769:$C$1001,,0))</f>
        <v>#N/A</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2">
      <c r="A771" s="2" t="s">
        <v>4836</v>
      </c>
      <c r="B771" s="3">
        <v>43912</v>
      </c>
      <c r="C771" s="2" t="s">
        <v>4837</v>
      </c>
      <c r="D771" t="s">
        <v>6151</v>
      </c>
      <c r="E771" s="2">
        <v>6</v>
      </c>
      <c r="F771" s="2" t="str">
        <f>_xlfn.XLOOKUP(C771,customers!$A$1:$A$1001,customers!$B$1:$B$1001,,0)</f>
        <v>Dalia Eburah</v>
      </c>
      <c r="G771" s="2" t="str" cm="1">
        <f t="array" ref="G771">IF(_xlfn.XLOOKUP(C771,customers!A770:$A$1001,customers!C770:$C$1001,,0)=0,"",_xlfn.XLOOKUP(C771,customers!A770:$A$1001,customers!C770:$C$1001,,0))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 "Robusta", IF(I771="Exc", "Excelsa", IF(I771="Ara", "Arabica", IF(I771="Lib", "Liberica", ""))))</f>
        <v>Robusta</v>
      </c>
      <c r="O771" t="str">
        <f t="shared" ref="O771:O834" si="38">IF(J771="M", "Medium", IF(J771="L", "Light", IF(J771="D", "Dark", "")))</f>
        <v>Medium</v>
      </c>
      <c r="P771" t="str">
        <f>_xlfn.XLOOKUP(Orders[[#This Row],[Customer ID]],customers!$A$1:$A$1001,customers!$I$1:$I$1001,,0)</f>
        <v>No</v>
      </c>
    </row>
    <row r="772" spans="1:16" x14ac:dyDescent="0.2">
      <c r="A772" s="2" t="s">
        <v>4842</v>
      </c>
      <c r="B772" s="3">
        <v>44092</v>
      </c>
      <c r="C772" s="2" t="s">
        <v>4843</v>
      </c>
      <c r="D772" t="s">
        <v>6147</v>
      </c>
      <c r="E772" s="2">
        <v>1</v>
      </c>
      <c r="F772" s="2" t="str">
        <f>_xlfn.XLOOKUP(C772,customers!$A$1:$A$1001,customers!$B$1:$B$1001,,0)</f>
        <v>Martie Brimilcombe</v>
      </c>
      <c r="G772" s="2" t="str" cm="1">
        <f t="array" ref="G772">IF(_xlfn.XLOOKUP(C772,customers!A771:$A$1001,customers!C771:$C$1001,,0)=0,"",_xlfn.XLOOKUP(C772,customers!A771:$A$1001,customers!C771:$C$1001,,0))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2">
      <c r="A773" s="2" t="s">
        <v>4847</v>
      </c>
      <c r="B773" s="3">
        <v>43468</v>
      </c>
      <c r="C773" s="2" t="s">
        <v>4848</v>
      </c>
      <c r="D773" t="s">
        <v>6173</v>
      </c>
      <c r="E773" s="2">
        <v>3</v>
      </c>
      <c r="F773" s="2" t="str">
        <f>_xlfn.XLOOKUP(C773,customers!$A$1:$A$1001,customers!$B$1:$B$1001,,0)</f>
        <v>Suzanna Bollam</v>
      </c>
      <c r="G773" s="2" t="str" cm="1">
        <f t="array" ref="G773">IF(_xlfn.XLOOKUP(C773,customers!A772:$A$1001,customers!C772:$C$1001,,0)=0,"",_xlfn.XLOOKUP(C773,customers!A772:$A$1001,customers!C772:$C$1001,,0))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2">
      <c r="A774" s="2" t="s">
        <v>4853</v>
      </c>
      <c r="B774" s="3">
        <v>44468</v>
      </c>
      <c r="C774" s="2" t="s">
        <v>4854</v>
      </c>
      <c r="D774" t="s">
        <v>6141</v>
      </c>
      <c r="E774" s="2">
        <v>6</v>
      </c>
      <c r="F774" s="2" t="str">
        <f>_xlfn.XLOOKUP(C774,customers!$A$1:$A$1001,customers!$B$1:$B$1001,,0)</f>
        <v>Mellisa Mebes</v>
      </c>
      <c r="G774" s="2" t="str" cm="1">
        <f t="array" ref="G774">IF(_xlfn.XLOOKUP(C774,customers!A773:$A$1001,customers!C773:$C$1001,,0)=0,"",_xlfn.XLOOKUP(C774,customers!A773:$A$1001,customers!C773:$C$1001,,0))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2">
      <c r="A775" s="2" t="s">
        <v>4858</v>
      </c>
      <c r="B775" s="3">
        <v>44488</v>
      </c>
      <c r="C775" s="2" t="s">
        <v>4859</v>
      </c>
      <c r="D775" t="s">
        <v>6159</v>
      </c>
      <c r="E775" s="2">
        <v>2</v>
      </c>
      <c r="F775" s="2" t="str">
        <f>_xlfn.XLOOKUP(C775,customers!$A$1:$A$1001,customers!$B$1:$B$1001,,0)</f>
        <v>Alva Filipczak</v>
      </c>
      <c r="G775" s="2" t="str" cm="1">
        <f t="array" ref="G775">IF(_xlfn.XLOOKUP(C775,customers!A774:$A$1001,customers!C774:$C$1001,,0)=0,"",_xlfn.XLOOKUP(C775,customers!A774:$A$1001,customers!C774:$C$1001,,0))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2">
      <c r="A776" s="2" t="s">
        <v>4864</v>
      </c>
      <c r="B776" s="3">
        <v>44756</v>
      </c>
      <c r="C776" s="2" t="s">
        <v>4865</v>
      </c>
      <c r="D776" t="s">
        <v>6138</v>
      </c>
      <c r="E776" s="2">
        <v>2</v>
      </c>
      <c r="F776" s="2" t="str">
        <f>_xlfn.XLOOKUP(C776,customers!$A$1:$A$1001,customers!$B$1:$B$1001,,0)</f>
        <v>Dorette Hinemoor</v>
      </c>
      <c r="G776" s="2" t="str" cm="1">
        <f t="array" ref="G776">IF(_xlfn.XLOOKUP(C776,customers!A775:$A$1001,customers!C775:$C$1001,,0)=0,"",_xlfn.XLOOKUP(C776,customers!A775:$A$1001,customers!C775:$C$1001,,0))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2">
      <c r="A777" s="2" t="s">
        <v>4869</v>
      </c>
      <c r="B777" s="3">
        <v>44396</v>
      </c>
      <c r="C777" s="2" t="s">
        <v>4870</v>
      </c>
      <c r="D777" t="s">
        <v>6176</v>
      </c>
      <c r="E777" s="2">
        <v>2</v>
      </c>
      <c r="F777" s="2" t="str">
        <f>_xlfn.XLOOKUP(C777,customers!$A$1:$A$1001,customers!$B$1:$B$1001,,0)</f>
        <v>Rhetta Elnaugh</v>
      </c>
      <c r="G777" s="2" t="str" cm="1">
        <f t="array" ref="G777">IF(_xlfn.XLOOKUP(C777,customers!A776:$A$1001,customers!C776:$C$1001,,0)=0,"",_xlfn.XLOOKUP(C777,customers!A776:$A$1001,customers!C776:$C$1001,,0))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2">
      <c r="A778" s="2" t="s">
        <v>4875</v>
      </c>
      <c r="B778" s="3">
        <v>44540</v>
      </c>
      <c r="C778" s="2" t="s">
        <v>4876</v>
      </c>
      <c r="D778" t="s">
        <v>6157</v>
      </c>
      <c r="E778" s="2">
        <v>3</v>
      </c>
      <c r="F778" s="2" t="str">
        <f>_xlfn.XLOOKUP(C778,customers!$A$1:$A$1001,customers!$B$1:$B$1001,,0)</f>
        <v>Jule Deehan</v>
      </c>
      <c r="G778" s="2" t="str" cm="1">
        <f t="array" ref="G778">IF(_xlfn.XLOOKUP(C778,customers!A777:$A$1001,customers!C777:$C$1001,,0)=0,"",_xlfn.XLOOKUP(C778,customers!A777:$A$1001,customers!C777:$C$1001,,0))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2">
      <c r="A779" s="2" t="s">
        <v>4881</v>
      </c>
      <c r="B779" s="3">
        <v>43541</v>
      </c>
      <c r="C779" s="2" t="s">
        <v>4882</v>
      </c>
      <c r="D779" t="s">
        <v>6182</v>
      </c>
      <c r="E779" s="2">
        <v>2</v>
      </c>
      <c r="F779" s="2" t="str">
        <f>_xlfn.XLOOKUP(C779,customers!$A$1:$A$1001,customers!$B$1:$B$1001,,0)</f>
        <v>Janella Eden</v>
      </c>
      <c r="G779" s="2" t="str" cm="1">
        <f t="array" ref="G779">IF(_xlfn.XLOOKUP(C779,customers!A778:$A$1001,customers!C778:$C$1001,,0)=0,"",_xlfn.XLOOKUP(C779,customers!A778:$A$1001,customers!C778:$C$1001,,0))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2">
      <c r="A780" s="2" t="s">
        <v>4886</v>
      </c>
      <c r="B780" s="3">
        <v>43889</v>
      </c>
      <c r="C780" s="2" t="s">
        <v>4933</v>
      </c>
      <c r="D780" t="s">
        <v>6161</v>
      </c>
      <c r="E780" s="2">
        <v>2</v>
      </c>
      <c r="F780" s="2" t="str">
        <f>_xlfn.XLOOKUP(C780,customers!$A$1:$A$1001,customers!$B$1:$B$1001,,0)</f>
        <v>Cam Jewster</v>
      </c>
      <c r="G780" s="2" t="str" cm="1">
        <f t="array" ref="G780">IF(_xlfn.XLOOKUP(C780,customers!A779:$A$1001,customers!C779:$C$1001,,0)=0,"",_xlfn.XLOOKUP(C780,customers!A779:$A$1001,customers!C779:$C$1001,,0))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2">
      <c r="A781" s="2" t="s">
        <v>4892</v>
      </c>
      <c r="B781" s="3">
        <v>43985</v>
      </c>
      <c r="C781" s="2" t="s">
        <v>4893</v>
      </c>
      <c r="D781" t="s">
        <v>6143</v>
      </c>
      <c r="E781" s="2">
        <v>6</v>
      </c>
      <c r="F781" s="2" t="str">
        <f>_xlfn.XLOOKUP(C781,customers!$A$1:$A$1001,customers!$B$1:$B$1001,,0)</f>
        <v>Ugo Southerden</v>
      </c>
      <c r="G781" s="2" t="str" cm="1">
        <f t="array" ref="G781">IF(_xlfn.XLOOKUP(C781,customers!A780:$A$1001,customers!C780:$C$1001,,0)=0,"",_xlfn.XLOOKUP(C781,customers!A780:$A$1001,customers!C780:$C$1001,,0))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2">
      <c r="A782" s="2" t="s">
        <v>4898</v>
      </c>
      <c r="B782" s="3">
        <v>43883</v>
      </c>
      <c r="C782" s="2" t="s">
        <v>4899</v>
      </c>
      <c r="D782" t="s">
        <v>6141</v>
      </c>
      <c r="E782" s="2">
        <v>3</v>
      </c>
      <c r="F782" s="2" t="str">
        <f>_xlfn.XLOOKUP(C782,customers!$A$1:$A$1001,customers!$B$1:$B$1001,,0)</f>
        <v>Verne Dunkerley</v>
      </c>
      <c r="G782" s="2" t="str" cm="1">
        <f t="array" ref="G782">IF(_xlfn.XLOOKUP(C782,customers!A781:$A$1001,customers!C781:$C$1001,,0)=0,"",_xlfn.XLOOKUP(C782,customers!A781:$A$1001,customers!C781:$C$1001,,0))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2">
      <c r="A783" s="2" t="s">
        <v>4903</v>
      </c>
      <c r="B783" s="3">
        <v>43778</v>
      </c>
      <c r="C783" s="2" t="s">
        <v>4904</v>
      </c>
      <c r="D783" t="s">
        <v>6164</v>
      </c>
      <c r="E783" s="2">
        <v>4</v>
      </c>
      <c r="F783" s="2" t="str">
        <f>_xlfn.XLOOKUP(C783,customers!$A$1:$A$1001,customers!$B$1:$B$1001,,0)</f>
        <v>Lacee Burtenshaw</v>
      </c>
      <c r="G783" s="2" t="str" cm="1">
        <f t="array" ref="G783">IF(_xlfn.XLOOKUP(C783,customers!A782:$A$1001,customers!C782:$C$1001,,0)=0,"",_xlfn.XLOOKUP(C783,customers!A782:$A$1001,customers!C782:$C$1001,,0))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2">
      <c r="A784" s="2" t="s">
        <v>4909</v>
      </c>
      <c r="B784" s="3">
        <v>43897</v>
      </c>
      <c r="C784" s="2" t="s">
        <v>4910</v>
      </c>
      <c r="D784" t="s">
        <v>6184</v>
      </c>
      <c r="E784" s="2">
        <v>6</v>
      </c>
      <c r="F784" s="2" t="str">
        <f>_xlfn.XLOOKUP(C784,customers!$A$1:$A$1001,customers!$B$1:$B$1001,,0)</f>
        <v>Adorne Gregoratti</v>
      </c>
      <c r="G784" s="2" t="str" cm="1">
        <f t="array" ref="G784">IF(_xlfn.XLOOKUP(C784,customers!A783:$A$1001,customers!C783:$C$1001,,0)=0,"",_xlfn.XLOOKUP(C784,customers!A783:$A$1001,customers!C783:$C$1001,,0))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2">
      <c r="A785" s="2" t="s">
        <v>4915</v>
      </c>
      <c r="B785" s="3">
        <v>44312</v>
      </c>
      <c r="C785" s="2" t="s">
        <v>4916</v>
      </c>
      <c r="D785" t="s">
        <v>6160</v>
      </c>
      <c r="E785" s="2">
        <v>5</v>
      </c>
      <c r="F785" s="2" t="str">
        <f>_xlfn.XLOOKUP(C785,customers!$A$1:$A$1001,customers!$B$1:$B$1001,,0)</f>
        <v>Chris Croster</v>
      </c>
      <c r="G785" s="2" t="str" cm="1">
        <f t="array" ref="G785">IF(_xlfn.XLOOKUP(C785,customers!A784:$A$1001,customers!C784:$C$1001,,0)=0,"",_xlfn.XLOOKUP(C785,customers!A784:$A$1001,customers!C784:$C$1001,,0))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2">
      <c r="A786" s="2" t="s">
        <v>4921</v>
      </c>
      <c r="B786" s="3">
        <v>44511</v>
      </c>
      <c r="C786" s="2" t="s">
        <v>4922</v>
      </c>
      <c r="D786" t="s">
        <v>6170</v>
      </c>
      <c r="E786" s="2">
        <v>2</v>
      </c>
      <c r="F786" s="2" t="str">
        <f>_xlfn.XLOOKUP(C786,customers!$A$1:$A$1001,customers!$B$1:$B$1001,,0)</f>
        <v>Graeme Whitehead</v>
      </c>
      <c r="G786" s="2" t="str" cm="1">
        <f t="array" ref="G786">IF(_xlfn.XLOOKUP(C786,customers!A785:$A$1001,customers!C785:$C$1001,,0)=0,"",_xlfn.XLOOKUP(C786,customers!A785:$A$1001,customers!C785:$C$1001,,0))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2">
      <c r="A787" s="2" t="s">
        <v>4926</v>
      </c>
      <c r="B787" s="3">
        <v>44362</v>
      </c>
      <c r="C787" s="2" t="s">
        <v>4927</v>
      </c>
      <c r="D787" t="s">
        <v>6168</v>
      </c>
      <c r="E787" s="2">
        <v>1</v>
      </c>
      <c r="F787" s="2" t="str">
        <f>_xlfn.XLOOKUP(C787,customers!$A$1:$A$1001,customers!$B$1:$B$1001,,0)</f>
        <v>Haslett Jodrelle</v>
      </c>
      <c r="G787" s="2" t="str" cm="1">
        <f t="array" ref="G787">IF(_xlfn.XLOOKUP(C787,customers!A786:$A$1001,customers!C786:$C$1001,,0)=0,"",_xlfn.XLOOKUP(C787,customers!A786:$A$1001,customers!C786:$C$1001,,0))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2">
      <c r="A788" s="2" t="s">
        <v>4932</v>
      </c>
      <c r="B788" s="3">
        <v>43888</v>
      </c>
      <c r="C788" s="2" t="s">
        <v>4933</v>
      </c>
      <c r="D788" t="s">
        <v>6185</v>
      </c>
      <c r="E788" s="2">
        <v>1</v>
      </c>
      <c r="F788" s="2" t="str">
        <f>_xlfn.XLOOKUP(C788,customers!$A$1:$A$1001,customers!$B$1:$B$1001,,0)</f>
        <v>Cam Jewster</v>
      </c>
      <c r="G788" s="2" t="str" cm="1">
        <f t="array" ref="G788">IF(_xlfn.XLOOKUP(C788,customers!A787:$A$1001,customers!C787:$C$1001,,0)=0,"",_xlfn.XLOOKUP(C788,customers!A787:$A$1001,customers!C787:$C$1001,,0))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2">
      <c r="A789" s="2" t="s">
        <v>4938</v>
      </c>
      <c r="B789" s="3">
        <v>44305</v>
      </c>
      <c r="C789" s="2" t="s">
        <v>4939</v>
      </c>
      <c r="D789" t="s">
        <v>6141</v>
      </c>
      <c r="E789" s="2">
        <v>6</v>
      </c>
      <c r="F789" s="2" t="str">
        <f>_xlfn.XLOOKUP(C789,customers!$A$1:$A$1001,customers!$B$1:$B$1001,,0)</f>
        <v>Beryl Osborn</v>
      </c>
      <c r="G789" s="2" t="str" cm="1">
        <f t="array" ref="G789">IF(_xlfn.XLOOKUP(C789,customers!A788:$A$1001,customers!C788:$C$1001,,0)=0,"",_xlfn.XLOOKUP(C789,customers!A788:$A$1001,customers!C788:$C$1001,,0))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2">
      <c r="A790" s="2" t="s">
        <v>4943</v>
      </c>
      <c r="B790" s="3">
        <v>44771</v>
      </c>
      <c r="C790" s="2" t="s">
        <v>4944</v>
      </c>
      <c r="D790" t="s">
        <v>6151</v>
      </c>
      <c r="E790" s="2">
        <v>2</v>
      </c>
      <c r="F790" s="2" t="str">
        <f>_xlfn.XLOOKUP(C790,customers!$A$1:$A$1001,customers!$B$1:$B$1001,,0)</f>
        <v>Kaela Nottram</v>
      </c>
      <c r="G790" s="2" t="str" cm="1">
        <f t="array" ref="G790">IF(_xlfn.XLOOKUP(C790,customers!A789:$A$1001,customers!C789:$C$1001,,0)=0,"",_xlfn.XLOOKUP(C790,customers!A789:$A$1001,customers!C789:$C$1001,,0))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2">
      <c r="A791" s="2" t="s">
        <v>4949</v>
      </c>
      <c r="B791" s="3">
        <v>43485</v>
      </c>
      <c r="C791" s="2" t="s">
        <v>4950</v>
      </c>
      <c r="D791" t="s">
        <v>6140</v>
      </c>
      <c r="E791" s="2">
        <v>6</v>
      </c>
      <c r="F791" s="2" t="str">
        <f>_xlfn.XLOOKUP(C791,customers!$A$1:$A$1001,customers!$B$1:$B$1001,,0)</f>
        <v>Nobe Buney</v>
      </c>
      <c r="G791" s="2" t="str" cm="1">
        <f t="array" ref="G791">IF(_xlfn.XLOOKUP(C791,customers!A790:$A$1001,customers!C790:$C$1001,,0)=0,"",_xlfn.XLOOKUP(C791,customers!A790:$A$1001,customers!C790:$C$1001,,0))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2">
      <c r="A792" s="2" t="s">
        <v>4955</v>
      </c>
      <c r="B792" s="3">
        <v>44613</v>
      </c>
      <c r="C792" s="2" t="s">
        <v>4956</v>
      </c>
      <c r="D792" t="s">
        <v>6180</v>
      </c>
      <c r="E792" s="2">
        <v>3</v>
      </c>
      <c r="F792" s="2" t="str">
        <f>_xlfn.XLOOKUP(C792,customers!$A$1:$A$1001,customers!$B$1:$B$1001,,0)</f>
        <v>Silvan McShea</v>
      </c>
      <c r="G792" s="2" t="str" cm="1">
        <f t="array" ref="G792">IF(_xlfn.XLOOKUP(C792,customers!A791:$A$1001,customers!C791:$C$1001,,0)=0,"",_xlfn.XLOOKUP(C792,customers!A791:$A$1001,customers!C791:$C$1001,,0))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2">
      <c r="A793" s="2" t="s">
        <v>4961</v>
      </c>
      <c r="B793" s="3">
        <v>43954</v>
      </c>
      <c r="C793" s="2" t="s">
        <v>4962</v>
      </c>
      <c r="D793" t="s">
        <v>6145</v>
      </c>
      <c r="E793" s="2">
        <v>5</v>
      </c>
      <c r="F793" s="2" t="str">
        <f>_xlfn.XLOOKUP(C793,customers!$A$1:$A$1001,customers!$B$1:$B$1001,,0)</f>
        <v>Karylin Huddart</v>
      </c>
      <c r="G793" s="2" t="str" cm="1">
        <f t="array" ref="G793">IF(_xlfn.XLOOKUP(C793,customers!A792:$A$1001,customers!C792:$C$1001,,0)=0,"",_xlfn.XLOOKUP(C793,customers!A792:$A$1001,customers!C792:$C$1001,,0))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2">
      <c r="A794" s="2" t="s">
        <v>4967</v>
      </c>
      <c r="B794" s="3">
        <v>43545</v>
      </c>
      <c r="C794" s="2" t="s">
        <v>4968</v>
      </c>
      <c r="D794" t="s">
        <v>6160</v>
      </c>
      <c r="E794" s="2">
        <v>6</v>
      </c>
      <c r="F794" s="2" t="str">
        <f>_xlfn.XLOOKUP(C794,customers!$A$1:$A$1001,customers!$B$1:$B$1001,,0)</f>
        <v>Jereme Gippes</v>
      </c>
      <c r="G794" s="2" t="str" cm="1">
        <f t="array" ref="G794">IF(_xlfn.XLOOKUP(C794,customers!A793:$A$1001,customers!C793:$C$1001,,0)=0,"",_xlfn.XLOOKUP(C794,customers!A793:$A$1001,customers!C793:$C$1001,,0))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2">
      <c r="A795" s="2" t="s">
        <v>4973</v>
      </c>
      <c r="B795" s="3">
        <v>43629</v>
      </c>
      <c r="C795" s="2" t="s">
        <v>4974</v>
      </c>
      <c r="D795" t="s">
        <v>6178</v>
      </c>
      <c r="E795" s="2">
        <v>5</v>
      </c>
      <c r="F795" s="2" t="str">
        <f>_xlfn.XLOOKUP(C795,customers!$A$1:$A$1001,customers!$B$1:$B$1001,,0)</f>
        <v>Lukas Whittlesee</v>
      </c>
      <c r="G795" s="2" t="str" cm="1">
        <f t="array" ref="G795">IF(_xlfn.XLOOKUP(C795,customers!A794:$A$1001,customers!C794:$C$1001,,0)=0,"",_xlfn.XLOOKUP(C795,customers!A794:$A$1001,customers!C794:$C$1001,,0))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2">
      <c r="A796" s="2" t="s">
        <v>4979</v>
      </c>
      <c r="B796" s="3">
        <v>43987</v>
      </c>
      <c r="C796" s="2" t="s">
        <v>4980</v>
      </c>
      <c r="D796" t="s">
        <v>6182</v>
      </c>
      <c r="E796" s="2">
        <v>5</v>
      </c>
      <c r="F796" s="2" t="str">
        <f>_xlfn.XLOOKUP(C796,customers!$A$1:$A$1001,customers!$B$1:$B$1001,,0)</f>
        <v>Gregorius Trengrove</v>
      </c>
      <c r="G796" s="2" t="str" cm="1">
        <f t="array" ref="G796">IF(_xlfn.XLOOKUP(C796,customers!A795:$A$1001,customers!C795:$C$1001,,0)=0,"",_xlfn.XLOOKUP(C796,customers!A795:$A$1001,customers!C795:$C$1001,,0))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2">
      <c r="A797" s="2" t="s">
        <v>4985</v>
      </c>
      <c r="B797" s="3">
        <v>43540</v>
      </c>
      <c r="C797" s="2" t="s">
        <v>4986</v>
      </c>
      <c r="D797" t="s">
        <v>6173</v>
      </c>
      <c r="E797" s="2">
        <v>4</v>
      </c>
      <c r="F797" s="2" t="str">
        <f>_xlfn.XLOOKUP(C797,customers!$A$1:$A$1001,customers!$B$1:$B$1001,,0)</f>
        <v>Wright Caldero</v>
      </c>
      <c r="G797" s="2" t="str" cm="1">
        <f t="array" ref="G797">IF(_xlfn.XLOOKUP(C797,customers!A796:$A$1001,customers!C796:$C$1001,,0)=0,"",_xlfn.XLOOKUP(C797,customers!A796:$A$1001,customers!C796:$C$1001,,0))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2">
      <c r="A798" s="2" t="s">
        <v>4991</v>
      </c>
      <c r="B798" s="3">
        <v>44533</v>
      </c>
      <c r="C798" s="2" t="s">
        <v>4992</v>
      </c>
      <c r="D798" t="s">
        <v>6161</v>
      </c>
      <c r="E798" s="2">
        <v>1</v>
      </c>
      <c r="F798" s="2" t="str">
        <f>_xlfn.XLOOKUP(C798,customers!$A$1:$A$1001,customers!$B$1:$B$1001,,0)</f>
        <v>Merell Zanazzi</v>
      </c>
      <c r="G798" s="2" t="str" cm="1">
        <f t="array" ref="G798">IF(_xlfn.XLOOKUP(C798,customers!A797:$A$1001,customers!C797:$C$1001,,0)=0,"",_xlfn.XLOOKUP(C798,customers!A797:$A$1001,customers!C797:$C$1001,,0))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2">
      <c r="A799" s="2" t="s">
        <v>4996</v>
      </c>
      <c r="B799" s="3">
        <v>44751</v>
      </c>
      <c r="C799" s="2" t="s">
        <v>4997</v>
      </c>
      <c r="D799" t="s">
        <v>6180</v>
      </c>
      <c r="E799" s="2">
        <v>4</v>
      </c>
      <c r="F799" s="2" t="str">
        <f>_xlfn.XLOOKUP(C799,customers!$A$1:$A$1001,customers!$B$1:$B$1001,,0)</f>
        <v>Jed Kennicott</v>
      </c>
      <c r="G799" s="2" t="str" cm="1">
        <f t="array" ref="G799">IF(_xlfn.XLOOKUP(C799,customers!A798:$A$1001,customers!C798:$C$1001,,0)=0,"",_xlfn.XLOOKUP(C799,customers!A798:$A$1001,customers!C798:$C$1001,,0))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2">
      <c r="A800" s="2" t="s">
        <v>5002</v>
      </c>
      <c r="B800" s="3">
        <v>43950</v>
      </c>
      <c r="C800" s="2" t="s">
        <v>5003</v>
      </c>
      <c r="D800" t="s">
        <v>6163</v>
      </c>
      <c r="E800" s="2">
        <v>3</v>
      </c>
      <c r="F800" s="2" t="str">
        <f>_xlfn.XLOOKUP(C800,customers!$A$1:$A$1001,customers!$B$1:$B$1001,,0)</f>
        <v>Guenevere Ruggen</v>
      </c>
      <c r="G800" s="2" t="str" cm="1">
        <f t="array" ref="G800">IF(_xlfn.XLOOKUP(C800,customers!A799:$A$1001,customers!C799:$C$1001,,0)=0,"",_xlfn.XLOOKUP(C800,customers!A799:$A$1001,customers!C799:$C$1001,,0))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2">
      <c r="A801" s="2" t="s">
        <v>5008</v>
      </c>
      <c r="B801" s="3">
        <v>44588</v>
      </c>
      <c r="C801" s="2" t="s">
        <v>5009</v>
      </c>
      <c r="D801" t="s">
        <v>6183</v>
      </c>
      <c r="E801" s="2">
        <v>3</v>
      </c>
      <c r="F801" s="2" t="str">
        <f>_xlfn.XLOOKUP(C801,customers!$A$1:$A$1001,customers!$B$1:$B$1001,,0)</f>
        <v>Gonzales Cicculi</v>
      </c>
      <c r="G801" s="2" t="str" cm="1">
        <f t="array" ref="G801">IF(_xlfn.XLOOKUP(C801,customers!A800:$A$1001,customers!C800:$C$1001,,0)=0,"",_xlfn.XLOOKUP(C801,customers!A800:$A$1001,customers!C800:$C$1001,,0))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2">
      <c r="A802" s="2" t="s">
        <v>5012</v>
      </c>
      <c r="B802" s="3">
        <v>44240</v>
      </c>
      <c r="C802" s="2" t="s">
        <v>5013</v>
      </c>
      <c r="D802" t="s">
        <v>6163</v>
      </c>
      <c r="E802" s="2">
        <v>6</v>
      </c>
      <c r="F802" s="2" t="str">
        <f>_xlfn.XLOOKUP(C802,customers!$A$1:$A$1001,customers!$B$1:$B$1001,,0)</f>
        <v>Man Fright</v>
      </c>
      <c r="G802" s="2" t="str" cm="1">
        <f t="array" ref="G802">IF(_xlfn.XLOOKUP(C802,customers!A801:$A$1001,customers!C801:$C$1001,,0)=0,"",_xlfn.XLOOKUP(C802,customers!A801:$A$1001,customers!C801:$C$1001,,0))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2">
      <c r="A803" s="2" t="s">
        <v>5018</v>
      </c>
      <c r="B803" s="3">
        <v>44025</v>
      </c>
      <c r="C803" s="2" t="s">
        <v>5019</v>
      </c>
      <c r="D803" t="s">
        <v>6149</v>
      </c>
      <c r="E803" s="2">
        <v>2</v>
      </c>
      <c r="F803" s="2" t="str">
        <f>_xlfn.XLOOKUP(C803,customers!$A$1:$A$1001,customers!$B$1:$B$1001,,0)</f>
        <v>Boyce Tarte</v>
      </c>
      <c r="G803" s="2" t="str" cm="1">
        <f t="array" ref="G803">IF(_xlfn.XLOOKUP(C803,customers!A802:$A$1001,customers!C802:$C$1001,,0)=0,"",_xlfn.XLOOKUP(C803,customers!A802:$A$1001,customers!C802:$C$1001,,0))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2">
      <c r="A804" s="2" t="s">
        <v>5024</v>
      </c>
      <c r="B804" s="3">
        <v>43902</v>
      </c>
      <c r="C804" s="2" t="s">
        <v>5025</v>
      </c>
      <c r="D804" t="s">
        <v>6163</v>
      </c>
      <c r="E804" s="2">
        <v>4</v>
      </c>
      <c r="F804" s="2" t="str">
        <f>_xlfn.XLOOKUP(C804,customers!$A$1:$A$1001,customers!$B$1:$B$1001,,0)</f>
        <v>Caddric Krzysztofiak</v>
      </c>
      <c r="G804" s="2" t="str" cm="1">
        <f t="array" ref="G804">IF(_xlfn.XLOOKUP(C804,customers!A803:$A$1001,customers!C803:$C$1001,,0)=0,"",_xlfn.XLOOKUP(C804,customers!A803:$A$1001,customers!C803:$C$1001,,0))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2">
      <c r="A805" s="2" t="s">
        <v>5030</v>
      </c>
      <c r="B805" s="3">
        <v>43955</v>
      </c>
      <c r="C805" s="2" t="s">
        <v>5031</v>
      </c>
      <c r="D805" t="s">
        <v>6166</v>
      </c>
      <c r="E805" s="2">
        <v>4</v>
      </c>
      <c r="F805" s="2" t="str">
        <f>_xlfn.XLOOKUP(C805,customers!$A$1:$A$1001,customers!$B$1:$B$1001,,0)</f>
        <v>Darn Penquet</v>
      </c>
      <c r="G805" s="2" t="str" cm="1">
        <f t="array" ref="G805">IF(_xlfn.XLOOKUP(C805,customers!A804:$A$1001,customers!C804:$C$1001,,0)=0,"",_xlfn.XLOOKUP(C805,customers!A804:$A$1001,customers!C804:$C$1001,,0))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2">
      <c r="A806" s="2" t="s">
        <v>5035</v>
      </c>
      <c r="B806" s="3">
        <v>44289</v>
      </c>
      <c r="C806" s="2" t="s">
        <v>5036</v>
      </c>
      <c r="D806" t="s">
        <v>6179</v>
      </c>
      <c r="E806" s="2">
        <v>2</v>
      </c>
      <c r="F806" s="2" t="str">
        <f>_xlfn.XLOOKUP(C806,customers!$A$1:$A$1001,customers!$B$1:$B$1001,,0)</f>
        <v>Jammie Cloke</v>
      </c>
      <c r="G806" s="2" t="str" cm="1">
        <f t="array" ref="G806">IF(_xlfn.XLOOKUP(C806,customers!A805:$A$1001,customers!C805:$C$1001,,0)=0,"",_xlfn.XLOOKUP(C806,customers!A805:$A$1001,customers!C805:$C$1001,,0))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2">
      <c r="A807" s="2" t="s">
        <v>5040</v>
      </c>
      <c r="B807" s="3">
        <v>44713</v>
      </c>
      <c r="C807" s="2" t="s">
        <v>5041</v>
      </c>
      <c r="D807" t="s">
        <v>6146</v>
      </c>
      <c r="E807" s="2">
        <v>1</v>
      </c>
      <c r="F807" s="2" t="str">
        <f>_xlfn.XLOOKUP(C807,customers!$A$1:$A$1001,customers!$B$1:$B$1001,,0)</f>
        <v>Chester Clowton</v>
      </c>
      <c r="G807" s="2" t="str" cm="1">
        <f t="array" ref="G807">IF(_xlfn.XLOOKUP(C807,customers!A806:$A$1001,customers!C806:$C$1001,,0)=0,"",_xlfn.XLOOKUP(C807,customers!A806:$A$1001,customers!C806:$C$1001,,0))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2">
      <c r="A808" s="2" t="s">
        <v>5046</v>
      </c>
      <c r="B808" s="3">
        <v>44241</v>
      </c>
      <c r="C808" s="2" t="s">
        <v>5047</v>
      </c>
      <c r="D808" t="s">
        <v>6150</v>
      </c>
      <c r="E808" s="2">
        <v>2</v>
      </c>
      <c r="F808" s="2" t="str">
        <f>_xlfn.XLOOKUP(C808,customers!$A$1:$A$1001,customers!$B$1:$B$1001,,0)</f>
        <v>Kathleen Diable</v>
      </c>
      <c r="G808" s="2" t="str" cm="1">
        <f t="array" ref="G808">IF(_xlfn.XLOOKUP(C808,customers!A807:$A$1001,customers!C807:$C$1001,,0)=0,"",_xlfn.XLOOKUP(C808,customers!A807:$A$1001,customers!C807:$C$1001,,0))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2">
      <c r="A809" s="2" t="s">
        <v>5050</v>
      </c>
      <c r="B809" s="3">
        <v>44543</v>
      </c>
      <c r="C809" s="2" t="s">
        <v>5051</v>
      </c>
      <c r="D809" t="s">
        <v>6169</v>
      </c>
      <c r="E809" s="2">
        <v>3</v>
      </c>
      <c r="F809" s="2" t="str">
        <f>_xlfn.XLOOKUP(C809,customers!$A$1:$A$1001,customers!$B$1:$B$1001,,0)</f>
        <v>Koren Ferretti</v>
      </c>
      <c r="G809" s="2" t="str" cm="1">
        <f t="array" ref="G809">IF(_xlfn.XLOOKUP(C809,customers!A808:$A$1001,customers!C808:$C$1001,,0)=0,"",_xlfn.XLOOKUP(C809,customers!A808:$A$1001,customers!C808:$C$1001,,0))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2">
      <c r="A810" s="2" t="s">
        <v>5056</v>
      </c>
      <c r="B810" s="3">
        <v>43868</v>
      </c>
      <c r="C810" s="2" t="s">
        <v>5113</v>
      </c>
      <c r="D810" t="s">
        <v>6142</v>
      </c>
      <c r="E810" s="2">
        <v>5</v>
      </c>
      <c r="F810" s="2" t="str">
        <f>_xlfn.XLOOKUP(C810,customers!$A$1:$A$1001,customers!$B$1:$B$1001,,0)</f>
        <v>Allis Wilmore</v>
      </c>
      <c r="G810" s="2" t="str" cm="1">
        <f t="array" ref="G810">IF(_xlfn.XLOOKUP(C810,customers!A809:$A$1001,customers!C809:$C$1001,,0)=0,"",_xlfn.XLOOKUP(C810,customers!A809:$A$1001,customers!C809:$C$1001,,0))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2">
      <c r="A811" s="2" t="s">
        <v>5062</v>
      </c>
      <c r="B811" s="3">
        <v>44235</v>
      </c>
      <c r="C811" s="2" t="s">
        <v>5063</v>
      </c>
      <c r="D811" t="s">
        <v>6163</v>
      </c>
      <c r="E811" s="2">
        <v>3</v>
      </c>
      <c r="F811" s="2" t="str">
        <f>_xlfn.XLOOKUP(C811,customers!$A$1:$A$1001,customers!$B$1:$B$1001,,0)</f>
        <v>Chaddie Bennie</v>
      </c>
      <c r="G811" s="2" t="str" cm="1">
        <f t="array" ref="G811">IF(_xlfn.XLOOKUP(C811,customers!A810:$A$1001,customers!C810:$C$1001,,0)=0,"",_xlfn.XLOOKUP(C811,customers!A810:$A$1001,customers!C810:$C$1001,,0))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2">
      <c r="A812" s="2" t="s">
        <v>5067</v>
      </c>
      <c r="B812" s="3">
        <v>44054</v>
      </c>
      <c r="C812" s="2" t="s">
        <v>5068</v>
      </c>
      <c r="D812" t="s">
        <v>6161</v>
      </c>
      <c r="E812" s="2">
        <v>3</v>
      </c>
      <c r="F812" s="2" t="str">
        <f>_xlfn.XLOOKUP(C812,customers!$A$1:$A$1001,customers!$B$1:$B$1001,,0)</f>
        <v>Alberta Balsdone</v>
      </c>
      <c r="G812" s="2" t="str" cm="1">
        <f t="array" ref="G812">IF(_xlfn.XLOOKUP(C812,customers!A811:$A$1001,customers!C811:$C$1001,,0)=0,"",_xlfn.XLOOKUP(C812,customers!A811:$A$1001,customers!C811:$C$1001,,0))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2">
      <c r="A813" s="2" t="s">
        <v>5073</v>
      </c>
      <c r="B813" s="3">
        <v>44114</v>
      </c>
      <c r="C813" s="2" t="s">
        <v>5074</v>
      </c>
      <c r="D813" t="s">
        <v>6155</v>
      </c>
      <c r="E813" s="2">
        <v>6</v>
      </c>
      <c r="F813" s="2" t="str">
        <f>_xlfn.XLOOKUP(C813,customers!$A$1:$A$1001,customers!$B$1:$B$1001,,0)</f>
        <v>Brice Romera</v>
      </c>
      <c r="G813" s="2" t="str" cm="1">
        <f t="array" ref="G813">IF(_xlfn.XLOOKUP(C813,customers!A812:$A$1001,customers!C812:$C$1001,,0)=0,"",_xlfn.XLOOKUP(C813,customers!A812:$A$1001,customers!C812:$C$1001,,0))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2">
      <c r="A814" s="2" t="s">
        <v>5073</v>
      </c>
      <c r="B814" s="3">
        <v>44114</v>
      </c>
      <c r="C814" s="2" t="s">
        <v>5074</v>
      </c>
      <c r="D814" t="s">
        <v>6165</v>
      </c>
      <c r="E814" s="2">
        <v>6</v>
      </c>
      <c r="F814" s="2" t="str">
        <f>_xlfn.XLOOKUP(C814,customers!$A$1:$A$1001,customers!$B$1:$B$1001,,0)</f>
        <v>Brice Romera</v>
      </c>
      <c r="G814" s="2" t="str" cm="1">
        <f t="array" ref="G814">IF(_xlfn.XLOOKUP(C814,customers!A813:$A$1001,customers!C813:$C$1001,,0)=0,"",_xlfn.XLOOKUP(C814,customers!A813:$A$1001,customers!C813:$C$1001,,0))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2">
      <c r="A815" s="2" t="s">
        <v>5084</v>
      </c>
      <c r="B815" s="3">
        <v>44173</v>
      </c>
      <c r="C815" s="2" t="s">
        <v>5085</v>
      </c>
      <c r="D815" t="s">
        <v>6166</v>
      </c>
      <c r="E815" s="2">
        <v>1</v>
      </c>
      <c r="F815" s="2" t="str">
        <f>_xlfn.XLOOKUP(C815,customers!$A$1:$A$1001,customers!$B$1:$B$1001,,0)</f>
        <v>Conchita Bryde</v>
      </c>
      <c r="G815" s="2" t="str" cm="1">
        <f t="array" ref="G815">IF(_xlfn.XLOOKUP(C815,customers!A814:$A$1001,customers!C814:$C$1001,,0)=0,"",_xlfn.XLOOKUP(C815,customers!A814:$A$1001,customers!C814:$C$1001,,0))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2">
      <c r="A816" s="2" t="s">
        <v>5090</v>
      </c>
      <c r="B816" s="3">
        <v>43573</v>
      </c>
      <c r="C816" s="2" t="s">
        <v>5091</v>
      </c>
      <c r="D816" t="s">
        <v>6184</v>
      </c>
      <c r="E816" s="2">
        <v>2</v>
      </c>
      <c r="F816" s="2" t="str">
        <f>_xlfn.XLOOKUP(C816,customers!$A$1:$A$1001,customers!$B$1:$B$1001,,0)</f>
        <v>Silvanus Enefer</v>
      </c>
      <c r="G816" s="2" t="str" cm="1">
        <f t="array" ref="G816">IF(_xlfn.XLOOKUP(C816,customers!A815:$A$1001,customers!C815:$C$1001,,0)=0,"",_xlfn.XLOOKUP(C816,customers!A815:$A$1001,customers!C815:$C$1001,,0))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2">
      <c r="A817" s="2" t="s">
        <v>5096</v>
      </c>
      <c r="B817" s="3">
        <v>44200</v>
      </c>
      <c r="C817" s="2" t="s">
        <v>5097</v>
      </c>
      <c r="D817" t="s">
        <v>6146</v>
      </c>
      <c r="E817" s="2">
        <v>6</v>
      </c>
      <c r="F817" s="2" t="str">
        <f>_xlfn.XLOOKUP(C817,customers!$A$1:$A$1001,customers!$B$1:$B$1001,,0)</f>
        <v>Lenci Haggerstone</v>
      </c>
      <c r="G817" s="2" t="str" cm="1">
        <f t="array" ref="G817">IF(_xlfn.XLOOKUP(C817,customers!A816:$A$1001,customers!C816:$C$1001,,0)=0,"",_xlfn.XLOOKUP(C817,customers!A816:$A$1001,customers!C816:$C$1001,,0))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2">
      <c r="A818" s="2" t="s">
        <v>5102</v>
      </c>
      <c r="B818" s="3">
        <v>43534</v>
      </c>
      <c r="C818" s="2" t="s">
        <v>5103</v>
      </c>
      <c r="D818" t="s">
        <v>6161</v>
      </c>
      <c r="E818" s="2">
        <v>4</v>
      </c>
      <c r="F818" s="2" t="str">
        <f>_xlfn.XLOOKUP(C818,customers!$A$1:$A$1001,customers!$B$1:$B$1001,,0)</f>
        <v>Marvin Gundry</v>
      </c>
      <c r="G818" s="2" t="str" cm="1">
        <f t="array" ref="G818">IF(_xlfn.XLOOKUP(C818,customers!A817:$A$1001,customers!C817:$C$1001,,0)=0,"",_xlfn.XLOOKUP(C818,customers!A817:$A$1001,customers!C817:$C$1001,,0))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2">
      <c r="A819" s="2" t="s">
        <v>5107</v>
      </c>
      <c r="B819" s="3">
        <v>43798</v>
      </c>
      <c r="C819" s="2" t="s">
        <v>5108</v>
      </c>
      <c r="D819" t="s">
        <v>6169</v>
      </c>
      <c r="E819" s="2">
        <v>2</v>
      </c>
      <c r="F819" s="2" t="str">
        <f>_xlfn.XLOOKUP(C819,customers!$A$1:$A$1001,customers!$B$1:$B$1001,,0)</f>
        <v>Bayard Wellan</v>
      </c>
      <c r="G819" s="2" t="str" cm="1">
        <f t="array" ref="G819">IF(_xlfn.XLOOKUP(C819,customers!A818:$A$1001,customers!C818:$C$1001,,0)=0,"",_xlfn.XLOOKUP(C819,customers!A818:$A$1001,customers!C818:$C$1001,,0))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2">
      <c r="A820" s="2" t="s">
        <v>5112</v>
      </c>
      <c r="B820" s="3">
        <v>44761</v>
      </c>
      <c r="C820" s="2" t="s">
        <v>5113</v>
      </c>
      <c r="D820" t="s">
        <v>6170</v>
      </c>
      <c r="E820" s="2">
        <v>5</v>
      </c>
      <c r="F820" s="2" t="str">
        <f>_xlfn.XLOOKUP(C820,customers!$A$1:$A$1001,customers!$B$1:$B$1001,,0)</f>
        <v>Allis Wilmore</v>
      </c>
      <c r="G820" s="2" t="str" cm="1">
        <f t="array" ref="G820">IF(_xlfn.XLOOKUP(C820,customers!A819:$A$1001,customers!C819:$C$1001,,0)=0,"",_xlfn.XLOOKUP(C820,customers!A819:$A$1001,customers!C819:$C$1001,,0))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2">
      <c r="A821" s="2" t="s">
        <v>5117</v>
      </c>
      <c r="B821" s="3">
        <v>44008</v>
      </c>
      <c r="C821" s="2" t="s">
        <v>5118</v>
      </c>
      <c r="D821" t="s">
        <v>6145</v>
      </c>
      <c r="E821" s="2">
        <v>1</v>
      </c>
      <c r="F821" s="2" t="str">
        <f>_xlfn.XLOOKUP(C821,customers!$A$1:$A$1001,customers!$B$1:$B$1001,,0)</f>
        <v>Caddric Atcheson</v>
      </c>
      <c r="G821" s="2" t="str" cm="1">
        <f t="array" ref="G821">IF(_xlfn.XLOOKUP(C821,customers!A820:$A$1001,customers!C820:$C$1001,,0)=0,"",_xlfn.XLOOKUP(C821,customers!A820:$A$1001,customers!C820:$C$1001,,0))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2">
      <c r="A822" s="2" t="s">
        <v>5123</v>
      </c>
      <c r="B822" s="3">
        <v>43510</v>
      </c>
      <c r="C822" s="2" t="s">
        <v>5124</v>
      </c>
      <c r="D822" t="s">
        <v>6141</v>
      </c>
      <c r="E822" s="2">
        <v>4</v>
      </c>
      <c r="F822" s="2" t="str">
        <f>_xlfn.XLOOKUP(C822,customers!$A$1:$A$1001,customers!$B$1:$B$1001,,0)</f>
        <v>Eustace Stenton</v>
      </c>
      <c r="G822" s="2" t="str" cm="1">
        <f t="array" ref="G822">IF(_xlfn.XLOOKUP(C822,customers!A821:$A$1001,customers!C821:$C$1001,,0)=0,"",_xlfn.XLOOKUP(C822,customers!A821:$A$1001,customers!C821:$C$1001,,0))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2">
      <c r="A823" s="2" t="s">
        <v>5129</v>
      </c>
      <c r="B823" s="3">
        <v>44144</v>
      </c>
      <c r="C823" s="2" t="s">
        <v>5130</v>
      </c>
      <c r="D823" t="s">
        <v>6172</v>
      </c>
      <c r="E823" s="2">
        <v>5</v>
      </c>
      <c r="F823" s="2" t="str">
        <f>_xlfn.XLOOKUP(C823,customers!$A$1:$A$1001,customers!$B$1:$B$1001,,0)</f>
        <v>Ericka Tripp</v>
      </c>
      <c r="G823" s="2" t="str" cm="1">
        <f t="array" ref="G823">IF(_xlfn.XLOOKUP(C823,customers!A822:$A$1001,customers!C822:$C$1001,,0)=0,"",_xlfn.XLOOKUP(C823,customers!A822:$A$1001,customers!C822:$C$1001,,0))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2">
      <c r="A824" s="2" t="s">
        <v>5135</v>
      </c>
      <c r="B824" s="3">
        <v>43585</v>
      </c>
      <c r="C824" s="2" t="s">
        <v>5136</v>
      </c>
      <c r="D824" t="s">
        <v>6148</v>
      </c>
      <c r="E824" s="2">
        <v>4</v>
      </c>
      <c r="F824" s="2" t="str">
        <f>_xlfn.XLOOKUP(C824,customers!$A$1:$A$1001,customers!$B$1:$B$1001,,0)</f>
        <v>Lyndsey MacManus</v>
      </c>
      <c r="G824" s="2" t="str" cm="1">
        <f t="array" ref="G824">IF(_xlfn.XLOOKUP(C824,customers!A823:$A$1001,customers!C823:$C$1001,,0)=0,"",_xlfn.XLOOKUP(C824,customers!A823:$A$1001,customers!C823:$C$1001,,0))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2">
      <c r="A825" s="2" t="s">
        <v>5141</v>
      </c>
      <c r="B825" s="3">
        <v>44134</v>
      </c>
      <c r="C825" s="2" t="s">
        <v>5142</v>
      </c>
      <c r="D825" t="s">
        <v>6170</v>
      </c>
      <c r="E825" s="2">
        <v>3</v>
      </c>
      <c r="F825" s="2" t="str">
        <f>_xlfn.XLOOKUP(C825,customers!$A$1:$A$1001,customers!$B$1:$B$1001,,0)</f>
        <v>Tess Benediktovich</v>
      </c>
      <c r="G825" s="2" t="str" cm="1">
        <f t="array" ref="G825">IF(_xlfn.XLOOKUP(C825,customers!A824:$A$1001,customers!C824:$C$1001,,0)=0,"",_xlfn.XLOOKUP(C825,customers!A824:$A$1001,customers!C824:$C$1001,,0))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2">
      <c r="A826" s="2" t="s">
        <v>5147</v>
      </c>
      <c r="B826" s="3">
        <v>43781</v>
      </c>
      <c r="C826" s="2" t="s">
        <v>5148</v>
      </c>
      <c r="D826" t="s">
        <v>6152</v>
      </c>
      <c r="E826" s="2">
        <v>5</v>
      </c>
      <c r="F826" s="2" t="str">
        <f>_xlfn.XLOOKUP(C826,customers!$A$1:$A$1001,customers!$B$1:$B$1001,,0)</f>
        <v>Correy Bourner</v>
      </c>
      <c r="G826" s="2" t="str" cm="1">
        <f t="array" ref="G826">IF(_xlfn.XLOOKUP(C826,customers!A825:$A$1001,customers!C825:$C$1001,,0)=0,"",_xlfn.XLOOKUP(C826,customers!A825:$A$1001,customers!C825:$C$1001,,0))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2">
      <c r="A827" s="2" t="s">
        <v>5152</v>
      </c>
      <c r="B827" s="3">
        <v>44603</v>
      </c>
      <c r="C827" s="2" t="s">
        <v>5188</v>
      </c>
      <c r="D827" t="s">
        <v>6147</v>
      </c>
      <c r="E827" s="2">
        <v>3</v>
      </c>
      <c r="F827" s="2" t="str">
        <f>_xlfn.XLOOKUP(C827,customers!$A$1:$A$1001,customers!$B$1:$B$1001,,0)</f>
        <v>Odelia Skerme</v>
      </c>
      <c r="G827" s="2" t="str" cm="1">
        <f t="array" ref="G827">IF(_xlfn.XLOOKUP(C827,customers!A826:$A$1001,customers!C826:$C$1001,,0)=0,"",_xlfn.XLOOKUP(C827,customers!A826:$A$1001,customers!C826:$C$1001,,0))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2">
      <c r="A828" s="2" t="s">
        <v>5158</v>
      </c>
      <c r="B828" s="3">
        <v>44283</v>
      </c>
      <c r="C828" s="2" t="s">
        <v>5159</v>
      </c>
      <c r="D828" t="s">
        <v>6139</v>
      </c>
      <c r="E828" s="2">
        <v>5</v>
      </c>
      <c r="F828" s="2" t="str">
        <f>_xlfn.XLOOKUP(C828,customers!$A$1:$A$1001,customers!$B$1:$B$1001,,0)</f>
        <v>Kandy Heddan</v>
      </c>
      <c r="G828" s="2" t="str" cm="1">
        <f t="array" ref="G828">IF(_xlfn.XLOOKUP(C828,customers!A827:$A$1001,customers!C827:$C$1001,,0)=0,"",_xlfn.XLOOKUP(C828,customers!A827:$A$1001,customers!C827:$C$1001,,0))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2">
      <c r="A829" s="2" t="s">
        <v>5164</v>
      </c>
      <c r="B829" s="3">
        <v>44540</v>
      </c>
      <c r="C829" s="2" t="s">
        <v>5165</v>
      </c>
      <c r="D829" t="s">
        <v>6156</v>
      </c>
      <c r="E829" s="2">
        <v>5</v>
      </c>
      <c r="F829" s="2" t="str">
        <f>_xlfn.XLOOKUP(C829,customers!$A$1:$A$1001,customers!$B$1:$B$1001,,0)</f>
        <v>Ibby Charters</v>
      </c>
      <c r="G829" s="2" t="str" cm="1">
        <f t="array" ref="G829">IF(_xlfn.XLOOKUP(C829,customers!A828:$A$1001,customers!C828:$C$1001,,0)=0,"",_xlfn.XLOOKUP(C829,customers!A828:$A$1001,customers!C828:$C$1001,,0))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2">
      <c r="A830" s="2" t="s">
        <v>5170</v>
      </c>
      <c r="B830" s="3">
        <v>44505</v>
      </c>
      <c r="C830" s="2" t="s">
        <v>5171</v>
      </c>
      <c r="D830" t="s">
        <v>6168</v>
      </c>
      <c r="E830" s="2">
        <v>6</v>
      </c>
      <c r="F830" s="2" t="str">
        <f>_xlfn.XLOOKUP(C830,customers!$A$1:$A$1001,customers!$B$1:$B$1001,,0)</f>
        <v>Adora Roubert</v>
      </c>
      <c r="G830" s="2" t="str" cm="1">
        <f t="array" ref="G830">IF(_xlfn.XLOOKUP(C830,customers!A829:$A$1001,customers!C829:$C$1001,,0)=0,"",_xlfn.XLOOKUP(C830,customers!A829:$A$1001,customers!C829:$C$1001,,0))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2">
      <c r="A831" s="2" t="s">
        <v>5176</v>
      </c>
      <c r="B831" s="3">
        <v>43890</v>
      </c>
      <c r="C831" s="2" t="s">
        <v>5177</v>
      </c>
      <c r="D831" t="s">
        <v>6154</v>
      </c>
      <c r="E831" s="2">
        <v>1</v>
      </c>
      <c r="F831" s="2" t="str">
        <f>_xlfn.XLOOKUP(C831,customers!$A$1:$A$1001,customers!$B$1:$B$1001,,0)</f>
        <v>Hillel Mairs</v>
      </c>
      <c r="G831" s="2" t="str" cm="1">
        <f t="array" ref="G831">IF(_xlfn.XLOOKUP(C831,customers!A830:$A$1001,customers!C830:$C$1001,,0)=0,"",_xlfn.XLOOKUP(C831,customers!A830:$A$1001,customers!C830:$C$1001,,0))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2">
      <c r="A832" s="2" t="s">
        <v>5182</v>
      </c>
      <c r="B832" s="3">
        <v>44414</v>
      </c>
      <c r="C832" s="2" t="s">
        <v>5183</v>
      </c>
      <c r="D832" t="s">
        <v>6141</v>
      </c>
      <c r="E832" s="2">
        <v>2</v>
      </c>
      <c r="F832" s="2" t="str">
        <f>_xlfn.XLOOKUP(C832,customers!$A$1:$A$1001,customers!$B$1:$B$1001,,0)</f>
        <v>Helaina Rainforth</v>
      </c>
      <c r="G832" s="2" t="str" cm="1">
        <f t="array" ref="G832">IF(_xlfn.XLOOKUP(C832,customers!A831:$A$1001,customers!C831:$C$1001,,0)=0,"",_xlfn.XLOOKUP(C832,customers!A831:$A$1001,customers!C831:$C$1001,,0))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2">
      <c r="A833" s="2" t="s">
        <v>5182</v>
      </c>
      <c r="B833" s="3">
        <v>44414</v>
      </c>
      <c r="C833" s="2" t="s">
        <v>5183</v>
      </c>
      <c r="D833" t="s">
        <v>6154</v>
      </c>
      <c r="E833" s="2">
        <v>2</v>
      </c>
      <c r="F833" s="2" t="str">
        <f>_xlfn.XLOOKUP(C833,customers!$A$1:$A$1001,customers!$B$1:$B$1001,,0)</f>
        <v>Helaina Rainforth</v>
      </c>
      <c r="G833" s="2" t="str" cm="1">
        <f t="array" ref="G833">IF(_xlfn.XLOOKUP(C833,customers!A832:$A$1001,customers!C832:$C$1001,,0)=0,"",_xlfn.XLOOKUP(C833,customers!A832:$A$1001,customers!C832:$C$1001,,0))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2">
      <c r="A834" s="2" t="s">
        <v>5193</v>
      </c>
      <c r="B834" s="3">
        <v>44274</v>
      </c>
      <c r="C834" s="2" t="s">
        <v>5194</v>
      </c>
      <c r="D834" t="s">
        <v>6138</v>
      </c>
      <c r="E834" s="2">
        <v>6</v>
      </c>
      <c r="F834" s="2" t="str">
        <f>_xlfn.XLOOKUP(C834,customers!$A$1:$A$1001,customers!$B$1:$B$1001,,0)</f>
        <v>Isac Jesper</v>
      </c>
      <c r="G834" s="2" t="str" cm="1">
        <f t="array" ref="G834">IF(_xlfn.XLOOKUP(C834,customers!A833:$A$1001,customers!C833:$C$1001,,0)=0,"",_xlfn.XLOOKUP(C834,customers!A833:$A$1001,customers!C833:$C$1001,,0))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2">
      <c r="A835" s="2" t="s">
        <v>5199</v>
      </c>
      <c r="B835" s="3">
        <v>44302</v>
      </c>
      <c r="C835" s="2" t="s">
        <v>5200</v>
      </c>
      <c r="D835" t="s">
        <v>6149</v>
      </c>
      <c r="E835" s="2">
        <v>4</v>
      </c>
      <c r="F835" s="2" t="str">
        <f>_xlfn.XLOOKUP(C835,customers!$A$1:$A$1001,customers!$B$1:$B$1001,,0)</f>
        <v>Lenette Dwerryhouse</v>
      </c>
      <c r="G835" s="2" t="str" cm="1">
        <f t="array" ref="G835">IF(_xlfn.XLOOKUP(C835,customers!A834:$A$1001,customers!C834:$C$1001,,0)=0,"",_xlfn.XLOOKUP(C835,customers!A834:$A$1001,customers!C834:$C$1001,,0))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 "Robusta", IF(I835="Exc", "Excelsa", IF(I835="Ara", "Arabica", IF(I835="Lib", "Liberica", ""))))</f>
        <v>Robusta</v>
      </c>
      <c r="O835" t="str">
        <f t="shared" ref="O835:O898" si="41">IF(J835="M", "Medium", IF(J835="L", "Light", IF(J835="D", "Dark", "")))</f>
        <v>Dark</v>
      </c>
      <c r="P835" t="str">
        <f>_xlfn.XLOOKUP(Orders[[#This Row],[Customer ID]],customers!$A$1:$A$1001,customers!$I$1:$I$1001,,0)</f>
        <v>Yes</v>
      </c>
    </row>
    <row r="836" spans="1:16" x14ac:dyDescent="0.2">
      <c r="A836" s="2" t="s">
        <v>5205</v>
      </c>
      <c r="B836" s="3">
        <v>44141</v>
      </c>
      <c r="C836" s="2" t="s">
        <v>5206</v>
      </c>
      <c r="D836" t="s">
        <v>6168</v>
      </c>
      <c r="E836" s="2">
        <v>1</v>
      </c>
      <c r="F836" s="2" t="str">
        <f>_xlfn.XLOOKUP(C836,customers!$A$1:$A$1001,customers!$B$1:$B$1001,,0)</f>
        <v>Nadeen Broomer</v>
      </c>
      <c r="G836" s="2" t="str" cm="1">
        <f t="array" ref="G836">IF(_xlfn.XLOOKUP(C836,customers!A835:$A$1001,customers!C835:$C$1001,,0)=0,"",_xlfn.XLOOKUP(C836,customers!A835:$A$1001,customers!C835:$C$1001,,0))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2">
      <c r="A837" s="2" t="s">
        <v>5211</v>
      </c>
      <c r="B837" s="3">
        <v>44270</v>
      </c>
      <c r="C837" s="2" t="s">
        <v>5212</v>
      </c>
      <c r="D837" t="s">
        <v>6176</v>
      </c>
      <c r="E837" s="2">
        <v>1</v>
      </c>
      <c r="F837" s="2" t="str">
        <f>_xlfn.XLOOKUP(C837,customers!$A$1:$A$1001,customers!$B$1:$B$1001,,0)</f>
        <v>Konstantine Thoumasson</v>
      </c>
      <c r="G837" s="2" t="str" cm="1">
        <f t="array" ref="G837">IF(_xlfn.XLOOKUP(C837,customers!A836:$A$1001,customers!C836:$C$1001,,0)=0,"",_xlfn.XLOOKUP(C837,customers!A836:$A$1001,customers!C836:$C$1001,,0))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2">
      <c r="A838" s="2" t="s">
        <v>5216</v>
      </c>
      <c r="B838" s="3">
        <v>44486</v>
      </c>
      <c r="C838" s="2" t="s">
        <v>5217</v>
      </c>
      <c r="D838" t="s">
        <v>6154</v>
      </c>
      <c r="E838" s="2">
        <v>4</v>
      </c>
      <c r="F838" s="2" t="str">
        <f>_xlfn.XLOOKUP(C838,customers!$A$1:$A$1001,customers!$B$1:$B$1001,,0)</f>
        <v>Frans Habbergham</v>
      </c>
      <c r="G838" s="2" t="str" cm="1">
        <f t="array" ref="G838">IF(_xlfn.XLOOKUP(C838,customers!A837:$A$1001,customers!C837:$C$1001,,0)=0,"",_xlfn.XLOOKUP(C838,customers!A837:$A$1001,customers!C837:$C$1001,,0))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2">
      <c r="A839" s="2" t="s">
        <v>5222</v>
      </c>
      <c r="B839" s="3">
        <v>43715</v>
      </c>
      <c r="C839" s="2" t="s">
        <v>5113</v>
      </c>
      <c r="D839" t="s">
        <v>6181</v>
      </c>
      <c r="E839" s="2">
        <v>3</v>
      </c>
      <c r="F839" s="2" t="str">
        <f>_xlfn.XLOOKUP(C839,customers!$A$1:$A$1001,customers!$B$1:$B$1001,,0)</f>
        <v>Allis Wilmore</v>
      </c>
      <c r="G839" s="2" t="e" cm="1">
        <f t="array" ref="G839">IF(_xlfn.XLOOKUP(C839,customers!A838:$A$1001,customers!C838:$C$1001,,0)=0,"",_xlfn.XLOOKUP(C839,customers!A838:$A$1001,customers!C838:$C$1001,,0))</f>
        <v>#N/A</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2">
      <c r="A840" s="2" t="s">
        <v>5228</v>
      </c>
      <c r="B840" s="3">
        <v>44755</v>
      </c>
      <c r="C840" s="2" t="s">
        <v>5229</v>
      </c>
      <c r="D840" t="s">
        <v>6168</v>
      </c>
      <c r="E840" s="2">
        <v>5</v>
      </c>
      <c r="F840" s="2" t="str">
        <f>_xlfn.XLOOKUP(C840,customers!$A$1:$A$1001,customers!$B$1:$B$1001,,0)</f>
        <v>Romain Avrashin</v>
      </c>
      <c r="G840" s="2" t="str" cm="1">
        <f t="array" ref="G840">IF(_xlfn.XLOOKUP(C840,customers!A839:$A$1001,customers!C839:$C$1001,,0)=0,"",_xlfn.XLOOKUP(C840,customers!A839:$A$1001,customers!C839:$C$1001,,0))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2">
      <c r="A841" s="2" t="s">
        <v>5234</v>
      </c>
      <c r="B841" s="3">
        <v>44521</v>
      </c>
      <c r="C841" s="2" t="s">
        <v>5235</v>
      </c>
      <c r="D841" t="s">
        <v>6139</v>
      </c>
      <c r="E841" s="2">
        <v>5</v>
      </c>
      <c r="F841" s="2" t="str">
        <f>_xlfn.XLOOKUP(C841,customers!$A$1:$A$1001,customers!$B$1:$B$1001,,0)</f>
        <v>Miran Doidge</v>
      </c>
      <c r="G841" s="2" t="str" cm="1">
        <f t="array" ref="G841">IF(_xlfn.XLOOKUP(C841,customers!A840:$A$1001,customers!C840:$C$1001,,0)=0,"",_xlfn.XLOOKUP(C841,customers!A840:$A$1001,customers!C840:$C$1001,,0))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2">
      <c r="A842" s="2" t="s">
        <v>5240</v>
      </c>
      <c r="B842" s="3">
        <v>44574</v>
      </c>
      <c r="C842" s="2" t="s">
        <v>5241</v>
      </c>
      <c r="D842" t="s">
        <v>6173</v>
      </c>
      <c r="E842" s="2">
        <v>4</v>
      </c>
      <c r="F842" s="2" t="str">
        <f>_xlfn.XLOOKUP(C842,customers!$A$1:$A$1001,customers!$B$1:$B$1001,,0)</f>
        <v>Janeva Edinboro</v>
      </c>
      <c r="G842" s="2" t="str" cm="1">
        <f t="array" ref="G842">IF(_xlfn.XLOOKUP(C842,customers!A841:$A$1001,customers!C841:$C$1001,,0)=0,"",_xlfn.XLOOKUP(C842,customers!A841:$A$1001,customers!C841:$C$1001,,0))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2">
      <c r="A843" s="2" t="s">
        <v>5246</v>
      </c>
      <c r="B843" s="3">
        <v>44755</v>
      </c>
      <c r="C843" s="2" t="s">
        <v>5247</v>
      </c>
      <c r="D843" t="s">
        <v>6159</v>
      </c>
      <c r="E843" s="2">
        <v>1</v>
      </c>
      <c r="F843" s="2" t="str">
        <f>_xlfn.XLOOKUP(C843,customers!$A$1:$A$1001,customers!$B$1:$B$1001,,0)</f>
        <v>Trumaine Tewelson</v>
      </c>
      <c r="G843" s="2" t="str" cm="1">
        <f t="array" ref="G843">IF(_xlfn.XLOOKUP(C843,customers!A842:$A$1001,customers!C842:$C$1001,,0)=0,"",_xlfn.XLOOKUP(C843,customers!A842:$A$1001,customers!C842:$C$1001,,0))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2">
      <c r="A844" s="2" t="s">
        <v>5251</v>
      </c>
      <c r="B844" s="3">
        <v>44502</v>
      </c>
      <c r="C844" s="2" t="s">
        <v>5188</v>
      </c>
      <c r="D844" t="s">
        <v>6156</v>
      </c>
      <c r="E844" s="2">
        <v>2</v>
      </c>
      <c r="F844" s="2" t="str">
        <f>_xlfn.XLOOKUP(C844,customers!$A$1:$A$1001,customers!$B$1:$B$1001,,0)</f>
        <v>Odelia Skerme</v>
      </c>
      <c r="G844" s="2" t="e" cm="1">
        <f t="array" ref="G844">IF(_xlfn.XLOOKUP(C844,customers!A843:$A$1001,customers!C843:$C$1001,,0)=0,"",_xlfn.XLOOKUP(C844,customers!A843:$A$1001,customers!C843:$C$1001,,0))</f>
        <v>#N/A</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2">
      <c r="A845" s="2" t="s">
        <v>5256</v>
      </c>
      <c r="B845" s="3">
        <v>44387</v>
      </c>
      <c r="C845" s="2" t="s">
        <v>5257</v>
      </c>
      <c r="D845" t="s">
        <v>6156</v>
      </c>
      <c r="E845" s="2">
        <v>2</v>
      </c>
      <c r="F845" s="2" t="str">
        <f>_xlfn.XLOOKUP(C845,customers!$A$1:$A$1001,customers!$B$1:$B$1001,,0)</f>
        <v>De Drewitt</v>
      </c>
      <c r="G845" s="2" t="str" cm="1">
        <f t="array" ref="G845">IF(_xlfn.XLOOKUP(C845,customers!A844:$A$1001,customers!C844:$C$1001,,0)=0,"",_xlfn.XLOOKUP(C845,customers!A844:$A$1001,customers!C844:$C$1001,,0))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2">
      <c r="A846" s="2" t="s">
        <v>5262</v>
      </c>
      <c r="B846" s="3">
        <v>44476</v>
      </c>
      <c r="C846" s="2" t="s">
        <v>5263</v>
      </c>
      <c r="D846" t="s">
        <v>6158</v>
      </c>
      <c r="E846" s="2">
        <v>6</v>
      </c>
      <c r="F846" s="2" t="str">
        <f>_xlfn.XLOOKUP(C846,customers!$A$1:$A$1001,customers!$B$1:$B$1001,,0)</f>
        <v>Adelheid Gladhill</v>
      </c>
      <c r="G846" s="2" t="str" cm="1">
        <f t="array" ref="G846">IF(_xlfn.XLOOKUP(C846,customers!A845:$A$1001,customers!C845:$C$1001,,0)=0,"",_xlfn.XLOOKUP(C846,customers!A845:$A$1001,customers!C845:$C$1001,,0))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2">
      <c r="A847" s="2" t="s">
        <v>5268</v>
      </c>
      <c r="B847" s="3">
        <v>43889</v>
      </c>
      <c r="C847" s="2" t="s">
        <v>5269</v>
      </c>
      <c r="D847" t="s">
        <v>6185</v>
      </c>
      <c r="E847" s="2">
        <v>6</v>
      </c>
      <c r="F847" s="2" t="str">
        <f>_xlfn.XLOOKUP(C847,customers!$A$1:$A$1001,customers!$B$1:$B$1001,,0)</f>
        <v>Murielle Lorinez</v>
      </c>
      <c r="G847" s="2" t="str" cm="1">
        <f t="array" ref="G847">IF(_xlfn.XLOOKUP(C847,customers!A846:$A$1001,customers!C846:$C$1001,,0)=0,"",_xlfn.XLOOKUP(C847,customers!A846:$A$1001,customers!C846:$C$1001,,0))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2">
      <c r="A848" s="2" t="s">
        <v>5273</v>
      </c>
      <c r="B848" s="3">
        <v>44747</v>
      </c>
      <c r="C848" s="2" t="s">
        <v>5274</v>
      </c>
      <c r="D848" t="s">
        <v>6175</v>
      </c>
      <c r="E848" s="2">
        <v>2</v>
      </c>
      <c r="F848" s="2" t="str">
        <f>_xlfn.XLOOKUP(C848,customers!$A$1:$A$1001,customers!$B$1:$B$1001,,0)</f>
        <v>Edin Mathe</v>
      </c>
      <c r="G848" s="2" t="str" cm="1">
        <f t="array" ref="G848">IF(_xlfn.XLOOKUP(C848,customers!A847:$A$1001,customers!C847:$C$1001,,0)=0,"",_xlfn.XLOOKUP(C848,customers!A847:$A$1001,customers!C847:$C$1001,,0))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2">
      <c r="A849" s="2" t="s">
        <v>5278</v>
      </c>
      <c r="B849" s="3">
        <v>44460</v>
      </c>
      <c r="C849" s="2" t="s">
        <v>5279</v>
      </c>
      <c r="D849" t="s">
        <v>6154</v>
      </c>
      <c r="E849" s="2">
        <v>3</v>
      </c>
      <c r="F849" s="2" t="str">
        <f>_xlfn.XLOOKUP(C849,customers!$A$1:$A$1001,customers!$B$1:$B$1001,,0)</f>
        <v>Mordy Van Der Vlies</v>
      </c>
      <c r="G849" s="2" t="str" cm="1">
        <f t="array" ref="G849">IF(_xlfn.XLOOKUP(C849,customers!A848:$A$1001,customers!C848:$C$1001,,0)=0,"",_xlfn.XLOOKUP(C849,customers!A848:$A$1001,customers!C848:$C$1001,,0))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2">
      <c r="A850" s="2" t="s">
        <v>5283</v>
      </c>
      <c r="B850" s="3">
        <v>43468</v>
      </c>
      <c r="C850" s="2" t="s">
        <v>5284</v>
      </c>
      <c r="D850" t="s">
        <v>6176</v>
      </c>
      <c r="E850" s="2">
        <v>6</v>
      </c>
      <c r="F850" s="2" t="str">
        <f>_xlfn.XLOOKUP(C850,customers!$A$1:$A$1001,customers!$B$1:$B$1001,,0)</f>
        <v>Spencer Wastell</v>
      </c>
      <c r="G850" s="2" t="str" cm="1">
        <f t="array" ref="G850">IF(_xlfn.XLOOKUP(C850,customers!A849:$A$1001,customers!C849:$C$1001,,0)=0,"",_xlfn.XLOOKUP(C850,customers!A849:$A$1001,customers!C849:$C$1001,,0))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2">
      <c r="A851" s="2" t="s">
        <v>5288</v>
      </c>
      <c r="B851" s="3">
        <v>44628</v>
      </c>
      <c r="C851" s="2" t="s">
        <v>5289</v>
      </c>
      <c r="D851" t="s">
        <v>6167</v>
      </c>
      <c r="E851" s="2">
        <v>6</v>
      </c>
      <c r="F851" s="2" t="str">
        <f>_xlfn.XLOOKUP(C851,customers!$A$1:$A$1001,customers!$B$1:$B$1001,,0)</f>
        <v>Jemimah Ethelston</v>
      </c>
      <c r="G851" s="2" t="str" cm="1">
        <f t="array" ref="G851">IF(_xlfn.XLOOKUP(C851,customers!A850:$A$1001,customers!C850:$C$1001,,0)=0,"",_xlfn.XLOOKUP(C851,customers!A850:$A$1001,customers!C850:$C$1001,,0))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2">
      <c r="A852" s="2" t="s">
        <v>5288</v>
      </c>
      <c r="B852" s="3">
        <v>44628</v>
      </c>
      <c r="C852" s="2" t="s">
        <v>5289</v>
      </c>
      <c r="D852" t="s">
        <v>6152</v>
      </c>
      <c r="E852" s="2">
        <v>2</v>
      </c>
      <c r="F852" s="2" t="str">
        <f>_xlfn.XLOOKUP(C852,customers!$A$1:$A$1001,customers!$B$1:$B$1001,,0)</f>
        <v>Jemimah Ethelston</v>
      </c>
      <c r="G852" s="2" t="str" cm="1">
        <f t="array" ref="G852">IF(_xlfn.XLOOKUP(C852,customers!A851:$A$1001,customers!C851:$C$1001,,0)=0,"",_xlfn.XLOOKUP(C852,customers!A851:$A$1001,customers!C851:$C$1001,,0))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2">
      <c r="A853" s="2" t="s">
        <v>5299</v>
      </c>
      <c r="B853" s="3">
        <v>43900</v>
      </c>
      <c r="C853" s="2" t="s">
        <v>5300</v>
      </c>
      <c r="D853" t="s">
        <v>6169</v>
      </c>
      <c r="E853" s="2">
        <v>1</v>
      </c>
      <c r="F853" s="2" t="str">
        <f>_xlfn.XLOOKUP(C853,customers!$A$1:$A$1001,customers!$B$1:$B$1001,,0)</f>
        <v>Perice Eberz</v>
      </c>
      <c r="G853" s="2" t="str" cm="1">
        <f t="array" ref="G853">IF(_xlfn.XLOOKUP(C853,customers!A852:$A$1001,customers!C852:$C$1001,,0)=0,"",_xlfn.XLOOKUP(C853,customers!A852:$A$1001,customers!C852:$C$1001,,0))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2">
      <c r="A854" s="2" t="s">
        <v>5305</v>
      </c>
      <c r="B854" s="3">
        <v>44527</v>
      </c>
      <c r="C854" s="2" t="s">
        <v>5306</v>
      </c>
      <c r="D854" t="s">
        <v>6165</v>
      </c>
      <c r="E854" s="2">
        <v>4</v>
      </c>
      <c r="F854" s="2" t="str">
        <f>_xlfn.XLOOKUP(C854,customers!$A$1:$A$1001,customers!$B$1:$B$1001,,0)</f>
        <v>Bear Gaish</v>
      </c>
      <c r="G854" s="2" t="str" cm="1">
        <f t="array" ref="G854">IF(_xlfn.XLOOKUP(C854,customers!A853:$A$1001,customers!C853:$C$1001,,0)=0,"",_xlfn.XLOOKUP(C854,customers!A853:$A$1001,customers!C853:$C$1001,,0))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2">
      <c r="A855" s="2" t="s">
        <v>5310</v>
      </c>
      <c r="B855" s="3">
        <v>44259</v>
      </c>
      <c r="C855" s="2" t="s">
        <v>5311</v>
      </c>
      <c r="D855" t="s">
        <v>6147</v>
      </c>
      <c r="E855" s="2">
        <v>2</v>
      </c>
      <c r="F855" s="2" t="str">
        <f>_xlfn.XLOOKUP(C855,customers!$A$1:$A$1001,customers!$B$1:$B$1001,,0)</f>
        <v>Lynnea Danton</v>
      </c>
      <c r="G855" s="2" t="str" cm="1">
        <f t="array" ref="G855">IF(_xlfn.XLOOKUP(C855,customers!A854:$A$1001,customers!C854:$C$1001,,0)=0,"",_xlfn.XLOOKUP(C855,customers!A854:$A$1001,customers!C854:$C$1001,,0))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2">
      <c r="A856" s="2" t="s">
        <v>5315</v>
      </c>
      <c r="B856" s="3">
        <v>44516</v>
      </c>
      <c r="C856" s="2" t="s">
        <v>5316</v>
      </c>
      <c r="D856" t="s">
        <v>6173</v>
      </c>
      <c r="E856" s="2">
        <v>5</v>
      </c>
      <c r="F856" s="2" t="str">
        <f>_xlfn.XLOOKUP(C856,customers!$A$1:$A$1001,customers!$B$1:$B$1001,,0)</f>
        <v>Skipton Morrall</v>
      </c>
      <c r="G856" s="2" t="str" cm="1">
        <f t="array" ref="G856">IF(_xlfn.XLOOKUP(C856,customers!A855:$A$1001,customers!C855:$C$1001,,0)=0,"",_xlfn.XLOOKUP(C856,customers!A855:$A$1001,customers!C855:$C$1001,,0))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2">
      <c r="A857" s="2" t="s">
        <v>5321</v>
      </c>
      <c r="B857" s="3">
        <v>43632</v>
      </c>
      <c r="C857" s="2" t="s">
        <v>5322</v>
      </c>
      <c r="D857" t="s">
        <v>6165</v>
      </c>
      <c r="E857" s="2">
        <v>3</v>
      </c>
      <c r="F857" s="2" t="str">
        <f>_xlfn.XLOOKUP(C857,customers!$A$1:$A$1001,customers!$B$1:$B$1001,,0)</f>
        <v>Devan Crownshaw</v>
      </c>
      <c r="G857" s="2" t="str" cm="1">
        <f t="array" ref="G857">IF(_xlfn.XLOOKUP(C857,customers!A856:$A$1001,customers!C856:$C$1001,,0)=0,"",_xlfn.XLOOKUP(C857,customers!A856:$A$1001,customers!C856:$C$1001,,0))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2">
      <c r="A858" s="2" t="s">
        <v>5327</v>
      </c>
      <c r="B858" s="3">
        <v>44031</v>
      </c>
      <c r="C858" s="2" t="s">
        <v>5188</v>
      </c>
      <c r="D858" t="s">
        <v>6159</v>
      </c>
      <c r="E858" s="2">
        <v>2</v>
      </c>
      <c r="F858" s="2" t="str">
        <f>_xlfn.XLOOKUP(C858,customers!$A$1:$A$1001,customers!$B$1:$B$1001,,0)</f>
        <v>Odelia Skerme</v>
      </c>
      <c r="G858" s="2" t="e" cm="1">
        <f t="array" ref="G858">IF(_xlfn.XLOOKUP(C858,customers!A857:$A$1001,customers!C857:$C$1001,,0)=0,"",_xlfn.XLOOKUP(C858,customers!A857:$A$1001,customers!C857:$C$1001,,0))</f>
        <v>#N/A</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2">
      <c r="A859" s="2" t="s">
        <v>5333</v>
      </c>
      <c r="B859" s="3">
        <v>43889</v>
      </c>
      <c r="C859" s="2" t="s">
        <v>5334</v>
      </c>
      <c r="D859" t="s">
        <v>6142</v>
      </c>
      <c r="E859" s="2">
        <v>5</v>
      </c>
      <c r="F859" s="2" t="str">
        <f>_xlfn.XLOOKUP(C859,customers!$A$1:$A$1001,customers!$B$1:$B$1001,,0)</f>
        <v>Joceline Reddoch</v>
      </c>
      <c r="G859" s="2" t="str" cm="1">
        <f t="array" ref="G859">IF(_xlfn.XLOOKUP(C859,customers!A858:$A$1001,customers!C858:$C$1001,,0)=0,"",_xlfn.XLOOKUP(C859,customers!A858:$A$1001,customers!C858:$C$1001,,0))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2">
      <c r="A860" s="2" t="s">
        <v>5339</v>
      </c>
      <c r="B860" s="3">
        <v>43638</v>
      </c>
      <c r="C860" s="2" t="s">
        <v>5340</v>
      </c>
      <c r="D860" t="s">
        <v>6160</v>
      </c>
      <c r="E860" s="2">
        <v>4</v>
      </c>
      <c r="F860" s="2" t="str">
        <f>_xlfn.XLOOKUP(C860,customers!$A$1:$A$1001,customers!$B$1:$B$1001,,0)</f>
        <v>Shelley Titley</v>
      </c>
      <c r="G860" s="2" t="str" cm="1">
        <f t="array" ref="G860">IF(_xlfn.XLOOKUP(C860,customers!A859:$A$1001,customers!C859:$C$1001,,0)=0,"",_xlfn.XLOOKUP(C860,customers!A859:$A$1001,customers!C859:$C$1001,,0))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2">
      <c r="A861" s="2" t="s">
        <v>5345</v>
      </c>
      <c r="B861" s="3">
        <v>43716</v>
      </c>
      <c r="C861" s="2" t="s">
        <v>5346</v>
      </c>
      <c r="D861" t="s">
        <v>6182</v>
      </c>
      <c r="E861" s="2">
        <v>6</v>
      </c>
      <c r="F861" s="2" t="str">
        <f>_xlfn.XLOOKUP(C861,customers!$A$1:$A$1001,customers!$B$1:$B$1001,,0)</f>
        <v>Redd Simao</v>
      </c>
      <c r="G861" s="2" t="str" cm="1">
        <f t="array" ref="G861">IF(_xlfn.XLOOKUP(C861,customers!A860:$A$1001,customers!C860:$C$1001,,0)=0,"",_xlfn.XLOOKUP(C861,customers!A860:$A$1001,customers!C860:$C$1001,,0))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2">
      <c r="A862" s="2" t="s">
        <v>5351</v>
      </c>
      <c r="B862" s="3">
        <v>44707</v>
      </c>
      <c r="C862" s="2" t="s">
        <v>5352</v>
      </c>
      <c r="D862" t="s">
        <v>6175</v>
      </c>
      <c r="E862" s="2">
        <v>1</v>
      </c>
      <c r="F862" s="2" t="str">
        <f>_xlfn.XLOOKUP(C862,customers!$A$1:$A$1001,customers!$B$1:$B$1001,,0)</f>
        <v>Cece Inker</v>
      </c>
      <c r="G862" s="2" t="str" cm="1">
        <f t="array" ref="G862">IF(_xlfn.XLOOKUP(C862,customers!A861:$A$1001,customers!C861:$C$1001,,0)=0,"",_xlfn.XLOOKUP(C862,customers!A861:$A$1001,customers!C861:$C$1001,,0))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2">
      <c r="A863" s="2" t="s">
        <v>5356</v>
      </c>
      <c r="B863" s="3">
        <v>43802</v>
      </c>
      <c r="C863" s="2" t="s">
        <v>5357</v>
      </c>
      <c r="D863" t="s">
        <v>6143</v>
      </c>
      <c r="E863" s="2">
        <v>6</v>
      </c>
      <c r="F863" s="2" t="str">
        <f>_xlfn.XLOOKUP(C863,customers!$A$1:$A$1001,customers!$B$1:$B$1001,,0)</f>
        <v>Noel Chisholm</v>
      </c>
      <c r="G863" s="2" t="str" cm="1">
        <f t="array" ref="G863">IF(_xlfn.XLOOKUP(C863,customers!A862:$A$1001,customers!C862:$C$1001,,0)=0,"",_xlfn.XLOOKUP(C863,customers!A862:$A$1001,customers!C862:$C$1001,,0))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2">
      <c r="A864" s="2" t="s">
        <v>5362</v>
      </c>
      <c r="B864" s="3">
        <v>43725</v>
      </c>
      <c r="C864" s="2" t="s">
        <v>5363</v>
      </c>
      <c r="D864" t="s">
        <v>6138</v>
      </c>
      <c r="E864" s="2">
        <v>1</v>
      </c>
      <c r="F864" s="2" t="str">
        <f>_xlfn.XLOOKUP(C864,customers!$A$1:$A$1001,customers!$B$1:$B$1001,,0)</f>
        <v>Grazia Oats</v>
      </c>
      <c r="G864" s="2" t="str" cm="1">
        <f t="array" ref="G864">IF(_xlfn.XLOOKUP(C864,customers!A863:$A$1001,customers!C863:$C$1001,,0)=0,"",_xlfn.XLOOKUP(C864,customers!A863:$A$1001,customers!C863:$C$1001,,0))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2">
      <c r="A865" s="2" t="s">
        <v>5368</v>
      </c>
      <c r="B865" s="3">
        <v>44712</v>
      </c>
      <c r="C865" s="2" t="s">
        <v>5369</v>
      </c>
      <c r="D865" t="s">
        <v>6162</v>
      </c>
      <c r="E865" s="2">
        <v>2</v>
      </c>
      <c r="F865" s="2" t="str">
        <f>_xlfn.XLOOKUP(C865,customers!$A$1:$A$1001,customers!$B$1:$B$1001,,0)</f>
        <v>Meade Birkin</v>
      </c>
      <c r="G865" s="2" t="str" cm="1">
        <f t="array" ref="G865">IF(_xlfn.XLOOKUP(C865,customers!A864:$A$1001,customers!C864:$C$1001,,0)=0,"",_xlfn.XLOOKUP(C865,customers!A864:$A$1001,customers!C864:$C$1001,,0))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2">
      <c r="A866" s="2" t="s">
        <v>5374</v>
      </c>
      <c r="B866" s="3">
        <v>43759</v>
      </c>
      <c r="C866" s="2" t="s">
        <v>5375</v>
      </c>
      <c r="D866" t="s">
        <v>6178</v>
      </c>
      <c r="E866" s="2">
        <v>6</v>
      </c>
      <c r="F866" s="2" t="str">
        <f>_xlfn.XLOOKUP(C866,customers!$A$1:$A$1001,customers!$B$1:$B$1001,,0)</f>
        <v>Ronda Pyson</v>
      </c>
      <c r="G866" s="2" t="str" cm="1">
        <f t="array" ref="G866">IF(_xlfn.XLOOKUP(C866,customers!A865:$A$1001,customers!C865:$C$1001,,0)=0,"",_xlfn.XLOOKUP(C866,customers!A865:$A$1001,customers!C865:$C$1001,,0))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2">
      <c r="A867" s="2" t="s">
        <v>5380</v>
      </c>
      <c r="B867" s="3">
        <v>44675</v>
      </c>
      <c r="C867" s="2" t="s">
        <v>5428</v>
      </c>
      <c r="D867" t="s">
        <v>6157</v>
      </c>
      <c r="E867" s="2">
        <v>1</v>
      </c>
      <c r="F867" s="2" t="str">
        <f>_xlfn.XLOOKUP(C867,customers!$A$1:$A$1001,customers!$B$1:$B$1001,,0)</f>
        <v>Modesty MacConnechie</v>
      </c>
      <c r="G867" s="2" t="str" cm="1">
        <f t="array" ref="G867">IF(_xlfn.XLOOKUP(C867,customers!A866:$A$1001,customers!C866:$C$1001,,0)=0,"",_xlfn.XLOOKUP(C867,customers!A866:$A$1001,customers!C866:$C$1001,,0))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2">
      <c r="A868" s="2" t="s">
        <v>5385</v>
      </c>
      <c r="B868" s="3">
        <v>44209</v>
      </c>
      <c r="C868" s="2" t="s">
        <v>5386</v>
      </c>
      <c r="D868" t="s">
        <v>6158</v>
      </c>
      <c r="E868" s="2">
        <v>3</v>
      </c>
      <c r="F868" s="2" t="str">
        <f>_xlfn.XLOOKUP(C868,customers!$A$1:$A$1001,customers!$B$1:$B$1001,,0)</f>
        <v>Rafaela Treacher</v>
      </c>
      <c r="G868" s="2" t="str" cm="1">
        <f t="array" ref="G868">IF(_xlfn.XLOOKUP(C868,customers!A867:$A$1001,customers!C867:$C$1001,,0)=0,"",_xlfn.XLOOKUP(C868,customers!A867:$A$1001,customers!C867:$C$1001,,0))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2">
      <c r="A869" s="2" t="s">
        <v>5391</v>
      </c>
      <c r="B869" s="3">
        <v>44792</v>
      </c>
      <c r="C869" s="2" t="s">
        <v>5392</v>
      </c>
      <c r="D869" t="s">
        <v>6182</v>
      </c>
      <c r="E869" s="2">
        <v>1</v>
      </c>
      <c r="F869" s="2" t="str">
        <f>_xlfn.XLOOKUP(C869,customers!$A$1:$A$1001,customers!$B$1:$B$1001,,0)</f>
        <v>Bee Fattorini</v>
      </c>
      <c r="G869" s="2" t="str" cm="1">
        <f t="array" ref="G869">IF(_xlfn.XLOOKUP(C869,customers!A868:$A$1001,customers!C868:$C$1001,,0)=0,"",_xlfn.XLOOKUP(C869,customers!A868:$A$1001,customers!C868:$C$1001,,0))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2">
      <c r="A870" s="2" t="s">
        <v>5396</v>
      </c>
      <c r="B870" s="3">
        <v>43526</v>
      </c>
      <c r="C870" s="2" t="s">
        <v>5397</v>
      </c>
      <c r="D870" t="s">
        <v>6139</v>
      </c>
      <c r="E870" s="2">
        <v>5</v>
      </c>
      <c r="F870" s="2" t="str">
        <f>_xlfn.XLOOKUP(C870,customers!$A$1:$A$1001,customers!$B$1:$B$1001,,0)</f>
        <v>Margie Palleske</v>
      </c>
      <c r="G870" s="2" t="str" cm="1">
        <f t="array" ref="G870">IF(_xlfn.XLOOKUP(C870,customers!A869:$A$1001,customers!C869:$C$1001,,0)=0,"",_xlfn.XLOOKUP(C870,customers!A869:$A$1001,customers!C869:$C$1001,,0))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2">
      <c r="A871" s="2" t="s">
        <v>5402</v>
      </c>
      <c r="B871" s="3">
        <v>43851</v>
      </c>
      <c r="C871" s="2" t="s">
        <v>5403</v>
      </c>
      <c r="D871" t="s">
        <v>6146</v>
      </c>
      <c r="E871" s="2">
        <v>3</v>
      </c>
      <c r="F871" s="2" t="str">
        <f>_xlfn.XLOOKUP(C871,customers!$A$1:$A$1001,customers!$B$1:$B$1001,,0)</f>
        <v>Alexina Randals</v>
      </c>
      <c r="G871" s="2" t="str" cm="1">
        <f t="array" ref="G871">IF(_xlfn.XLOOKUP(C871,customers!A870:$A$1001,customers!C870:$C$1001,,0)=0,"",_xlfn.XLOOKUP(C871,customers!A870:$A$1001,customers!C870:$C$1001,,0))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2">
      <c r="A872" s="2" t="s">
        <v>5407</v>
      </c>
      <c r="B872" s="3">
        <v>44460</v>
      </c>
      <c r="C872" s="2" t="s">
        <v>5408</v>
      </c>
      <c r="D872" t="s">
        <v>6144</v>
      </c>
      <c r="E872" s="2">
        <v>1</v>
      </c>
      <c r="F872" s="2" t="str">
        <f>_xlfn.XLOOKUP(C872,customers!$A$1:$A$1001,customers!$B$1:$B$1001,,0)</f>
        <v>Filip Antcliffe</v>
      </c>
      <c r="G872" s="2" t="str" cm="1">
        <f t="array" ref="G872">IF(_xlfn.XLOOKUP(C872,customers!A871:$A$1001,customers!C871:$C$1001,,0)=0,"",_xlfn.XLOOKUP(C872,customers!A871:$A$1001,customers!C871:$C$1001,,0))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2">
      <c r="A873" s="2" t="s">
        <v>5413</v>
      </c>
      <c r="B873" s="3">
        <v>43707</v>
      </c>
      <c r="C873" s="2" t="s">
        <v>5414</v>
      </c>
      <c r="D873" t="s">
        <v>6171</v>
      </c>
      <c r="E873" s="2">
        <v>2</v>
      </c>
      <c r="F873" s="2" t="str">
        <f>_xlfn.XLOOKUP(C873,customers!$A$1:$A$1001,customers!$B$1:$B$1001,,0)</f>
        <v>Peyter Matignon</v>
      </c>
      <c r="G873" s="2" t="str" cm="1">
        <f t="array" ref="G873">IF(_xlfn.XLOOKUP(C873,customers!A872:$A$1001,customers!C872:$C$1001,,0)=0,"",_xlfn.XLOOKUP(C873,customers!A872:$A$1001,customers!C872:$C$1001,,0))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2">
      <c r="A874" s="2" t="s">
        <v>5421</v>
      </c>
      <c r="B874" s="3">
        <v>43521</v>
      </c>
      <c r="C874" s="2" t="s">
        <v>5422</v>
      </c>
      <c r="D874" t="s">
        <v>6155</v>
      </c>
      <c r="E874" s="2">
        <v>2</v>
      </c>
      <c r="F874" s="2" t="str">
        <f>_xlfn.XLOOKUP(C874,customers!$A$1:$A$1001,customers!$B$1:$B$1001,,0)</f>
        <v>Claudie Weond</v>
      </c>
      <c r="G874" s="2" t="str" cm="1">
        <f t="array" ref="G874">IF(_xlfn.XLOOKUP(C874,customers!A873:$A$1001,customers!C873:$C$1001,,0)=0,"",_xlfn.XLOOKUP(C874,customers!A873:$A$1001,customers!C873:$C$1001,,0))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2">
      <c r="A875" s="2" t="s">
        <v>5427</v>
      </c>
      <c r="B875" s="3">
        <v>43725</v>
      </c>
      <c r="C875" s="2" t="s">
        <v>5428</v>
      </c>
      <c r="D875" t="s">
        <v>6174</v>
      </c>
      <c r="E875" s="2">
        <v>4</v>
      </c>
      <c r="F875" s="2" t="str">
        <f>_xlfn.XLOOKUP(C875,customers!$A$1:$A$1001,customers!$B$1:$B$1001,,0)</f>
        <v>Modesty MacConnechie</v>
      </c>
      <c r="G875" s="2" t="str" cm="1">
        <f t="array" ref="G875">IF(_xlfn.XLOOKUP(C875,customers!A874:$A$1001,customers!C874:$C$1001,,0)=0,"",_xlfn.XLOOKUP(C875,customers!A874:$A$1001,customers!C874:$C$1001,,0))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2">
      <c r="A876" s="2" t="s">
        <v>5433</v>
      </c>
      <c r="B876" s="3">
        <v>43680</v>
      </c>
      <c r="C876" s="2" t="s">
        <v>5434</v>
      </c>
      <c r="D876" t="s">
        <v>6140</v>
      </c>
      <c r="E876" s="2">
        <v>2</v>
      </c>
      <c r="F876" s="2" t="str">
        <f>_xlfn.XLOOKUP(C876,customers!$A$1:$A$1001,customers!$B$1:$B$1001,,0)</f>
        <v>Jaquenette Skentelbery</v>
      </c>
      <c r="G876" s="2" t="str" cm="1">
        <f t="array" ref="G876">IF(_xlfn.XLOOKUP(C876,customers!A875:$A$1001,customers!C875:$C$1001,,0)=0,"",_xlfn.XLOOKUP(C876,customers!A875:$A$1001,customers!C875:$C$1001,,0))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2">
      <c r="A877" s="2" t="s">
        <v>5439</v>
      </c>
      <c r="B877" s="3">
        <v>44253</v>
      </c>
      <c r="C877" s="2" t="s">
        <v>5440</v>
      </c>
      <c r="D877" t="s">
        <v>6160</v>
      </c>
      <c r="E877" s="2">
        <v>5</v>
      </c>
      <c r="F877" s="2" t="str">
        <f>_xlfn.XLOOKUP(C877,customers!$A$1:$A$1001,customers!$B$1:$B$1001,,0)</f>
        <v>Orazio Comber</v>
      </c>
      <c r="G877" s="2" t="str" cm="1">
        <f t="array" ref="G877">IF(_xlfn.XLOOKUP(C877,customers!A876:$A$1001,customers!C876:$C$1001,,0)=0,"",_xlfn.XLOOKUP(C877,customers!A876:$A$1001,customers!C876:$C$1001,,0))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2">
      <c r="A878" s="2" t="s">
        <v>5439</v>
      </c>
      <c r="B878" s="3">
        <v>44253</v>
      </c>
      <c r="C878" s="2" t="s">
        <v>5440</v>
      </c>
      <c r="D878" t="s">
        <v>6180</v>
      </c>
      <c r="E878" s="2">
        <v>6</v>
      </c>
      <c r="F878" s="2" t="str">
        <f>_xlfn.XLOOKUP(C878,customers!$A$1:$A$1001,customers!$B$1:$B$1001,,0)</f>
        <v>Orazio Comber</v>
      </c>
      <c r="G878" s="2" t="str" cm="1">
        <f t="array" ref="G878">IF(_xlfn.XLOOKUP(C878,customers!A877:$A$1001,customers!C877:$C$1001,,0)=0,"",_xlfn.XLOOKUP(C878,customers!A877:$A$1001,customers!C877:$C$1001,,0))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2">
      <c r="A879" s="2" t="s">
        <v>5450</v>
      </c>
      <c r="B879" s="3">
        <v>44411</v>
      </c>
      <c r="C879" s="2" t="s">
        <v>5451</v>
      </c>
      <c r="D879" t="s">
        <v>6161</v>
      </c>
      <c r="E879" s="2">
        <v>3</v>
      </c>
      <c r="F879" s="2" t="str">
        <f>_xlfn.XLOOKUP(C879,customers!$A$1:$A$1001,customers!$B$1:$B$1001,,0)</f>
        <v>Zachary Tramel</v>
      </c>
      <c r="G879" s="2" t="str" cm="1">
        <f t="array" ref="G879">IF(_xlfn.XLOOKUP(C879,customers!A878:$A$1001,customers!C878:$C$1001,,0)=0,"",_xlfn.XLOOKUP(C879,customers!A878:$A$1001,customers!C878:$C$1001,,0))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2">
      <c r="A880" s="2" t="s">
        <v>5456</v>
      </c>
      <c r="B880" s="3">
        <v>44323</v>
      </c>
      <c r="C880" s="2" t="s">
        <v>5457</v>
      </c>
      <c r="D880" t="s">
        <v>6142</v>
      </c>
      <c r="E880" s="2">
        <v>1</v>
      </c>
      <c r="F880" s="2" t="str">
        <f>_xlfn.XLOOKUP(C880,customers!$A$1:$A$1001,customers!$B$1:$B$1001,,0)</f>
        <v>Izaak Primak</v>
      </c>
      <c r="G880" s="2" t="str" cm="1">
        <f t="array" ref="G880">IF(_xlfn.XLOOKUP(C880,customers!A879:$A$1001,customers!C879:$C$1001,,0)=0,"",_xlfn.XLOOKUP(C880,customers!A879:$A$1001,customers!C879:$C$1001,,0))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2">
      <c r="A881" s="2" t="s">
        <v>5461</v>
      </c>
      <c r="B881" s="3">
        <v>43630</v>
      </c>
      <c r="C881" s="2" t="s">
        <v>5462</v>
      </c>
      <c r="D881" t="s">
        <v>6153</v>
      </c>
      <c r="E881" s="2">
        <v>3</v>
      </c>
      <c r="F881" s="2" t="str">
        <f>_xlfn.XLOOKUP(C881,customers!$A$1:$A$1001,customers!$B$1:$B$1001,,0)</f>
        <v>Brittani Thoresbie</v>
      </c>
      <c r="G881" s="2" t="str" cm="1">
        <f t="array" ref="G881">IF(_xlfn.XLOOKUP(C881,customers!A880:$A$1001,customers!C880:$C$1001,,0)=0,"",_xlfn.XLOOKUP(C881,customers!A880:$A$1001,customers!C880:$C$1001,,0))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2">
      <c r="A882" s="2" t="s">
        <v>5466</v>
      </c>
      <c r="B882" s="3">
        <v>43790</v>
      </c>
      <c r="C882" s="2" t="s">
        <v>5467</v>
      </c>
      <c r="D882" t="s">
        <v>6178</v>
      </c>
      <c r="E882" s="2">
        <v>2</v>
      </c>
      <c r="F882" s="2" t="str">
        <f>_xlfn.XLOOKUP(C882,customers!$A$1:$A$1001,customers!$B$1:$B$1001,,0)</f>
        <v>Constanta Hatfull</v>
      </c>
      <c r="G882" s="2" t="str" cm="1">
        <f t="array" ref="G882">IF(_xlfn.XLOOKUP(C882,customers!A881:$A$1001,customers!C881:$C$1001,,0)=0,"",_xlfn.XLOOKUP(C882,customers!A881:$A$1001,customers!C881:$C$1001,,0))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2">
      <c r="A883" s="2" t="s">
        <v>5472</v>
      </c>
      <c r="B883" s="3">
        <v>44286</v>
      </c>
      <c r="C883" s="2" t="s">
        <v>5473</v>
      </c>
      <c r="D883" t="s">
        <v>6167</v>
      </c>
      <c r="E883" s="2">
        <v>6</v>
      </c>
      <c r="F883" s="2" t="str">
        <f>_xlfn.XLOOKUP(C883,customers!$A$1:$A$1001,customers!$B$1:$B$1001,,0)</f>
        <v>Bobbe Castagneto</v>
      </c>
      <c r="G883" s="2" t="str" cm="1">
        <f t="array" ref="G883">IF(_xlfn.XLOOKUP(C883,customers!A882:$A$1001,customers!C882:$C$1001,,0)=0,"",_xlfn.XLOOKUP(C883,customers!A882:$A$1001,customers!C882:$C$1001,,0))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2">
      <c r="A884" s="2" t="s">
        <v>5477</v>
      </c>
      <c r="B884" s="3">
        <v>43647</v>
      </c>
      <c r="C884" s="2" t="s">
        <v>5526</v>
      </c>
      <c r="D884" t="s">
        <v>6168</v>
      </c>
      <c r="E884" s="2">
        <v>5</v>
      </c>
      <c r="F884" s="2" t="str">
        <f>_xlfn.XLOOKUP(C884,customers!$A$1:$A$1001,customers!$B$1:$B$1001,,0)</f>
        <v>Kippie Marrison</v>
      </c>
      <c r="G884" s="2" t="str" cm="1">
        <f t="array" ref="G884">IF(_xlfn.XLOOKUP(C884,customers!A883:$A$1001,customers!C883:$C$1001,,0)=0,"",_xlfn.XLOOKUP(C884,customers!A883:$A$1001,customers!C883:$C$1001,,0))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2">
      <c r="A885" s="2" t="s">
        <v>5483</v>
      </c>
      <c r="B885" s="3">
        <v>43956</v>
      </c>
      <c r="C885" s="2" t="s">
        <v>5484</v>
      </c>
      <c r="D885" t="s">
        <v>6175</v>
      </c>
      <c r="E885" s="2">
        <v>3</v>
      </c>
      <c r="F885" s="2" t="str">
        <f>_xlfn.XLOOKUP(C885,customers!$A$1:$A$1001,customers!$B$1:$B$1001,,0)</f>
        <v>Lindon Agnolo</v>
      </c>
      <c r="G885" s="2" t="str" cm="1">
        <f t="array" ref="G885">IF(_xlfn.XLOOKUP(C885,customers!A884:$A$1001,customers!C884:$C$1001,,0)=0,"",_xlfn.XLOOKUP(C885,customers!A884:$A$1001,customers!C884:$C$1001,,0))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2">
      <c r="A886" s="2" t="s">
        <v>5489</v>
      </c>
      <c r="B886" s="3">
        <v>43941</v>
      </c>
      <c r="C886" s="2" t="s">
        <v>5490</v>
      </c>
      <c r="D886" t="s">
        <v>6172</v>
      </c>
      <c r="E886" s="2">
        <v>1</v>
      </c>
      <c r="F886" s="2" t="str">
        <f>_xlfn.XLOOKUP(C886,customers!$A$1:$A$1001,customers!$B$1:$B$1001,,0)</f>
        <v>Delainey Kiddy</v>
      </c>
      <c r="G886" s="2" t="str" cm="1">
        <f t="array" ref="G886">IF(_xlfn.XLOOKUP(C886,customers!A885:$A$1001,customers!C885:$C$1001,,0)=0,"",_xlfn.XLOOKUP(C886,customers!A885:$A$1001,customers!C885:$C$1001,,0))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2">
      <c r="A887" s="2" t="s">
        <v>5495</v>
      </c>
      <c r="B887" s="3">
        <v>43664</v>
      </c>
      <c r="C887" s="2" t="s">
        <v>5496</v>
      </c>
      <c r="D887" t="s">
        <v>6149</v>
      </c>
      <c r="E887" s="2">
        <v>6</v>
      </c>
      <c r="F887" s="2" t="str">
        <f>_xlfn.XLOOKUP(C887,customers!$A$1:$A$1001,customers!$B$1:$B$1001,,0)</f>
        <v>Helli Petroulis</v>
      </c>
      <c r="G887" s="2" t="str" cm="1">
        <f t="array" ref="G887">IF(_xlfn.XLOOKUP(C887,customers!A886:$A$1001,customers!C886:$C$1001,,0)=0,"",_xlfn.XLOOKUP(C887,customers!A886:$A$1001,customers!C886:$C$1001,,0))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2">
      <c r="A888" s="2" t="s">
        <v>5501</v>
      </c>
      <c r="B888" s="3">
        <v>44518</v>
      </c>
      <c r="C888" s="2" t="s">
        <v>5502</v>
      </c>
      <c r="D888" t="s">
        <v>6160</v>
      </c>
      <c r="E888" s="2">
        <v>2</v>
      </c>
      <c r="F888" s="2" t="str">
        <f>_xlfn.XLOOKUP(C888,customers!$A$1:$A$1001,customers!$B$1:$B$1001,,0)</f>
        <v>Marty Scholl</v>
      </c>
      <c r="G888" s="2" t="str" cm="1">
        <f t="array" ref="G888">IF(_xlfn.XLOOKUP(C888,customers!A887:$A$1001,customers!C887:$C$1001,,0)=0,"",_xlfn.XLOOKUP(C888,customers!A887:$A$1001,customers!C887:$C$1001,,0))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2">
      <c r="A889" s="2" t="s">
        <v>5507</v>
      </c>
      <c r="B889" s="3">
        <v>44002</v>
      </c>
      <c r="C889" s="2" t="s">
        <v>5508</v>
      </c>
      <c r="D889" t="s">
        <v>6184</v>
      </c>
      <c r="E889" s="2">
        <v>3</v>
      </c>
      <c r="F889" s="2" t="str">
        <f>_xlfn.XLOOKUP(C889,customers!$A$1:$A$1001,customers!$B$1:$B$1001,,0)</f>
        <v>Kienan Ferson</v>
      </c>
      <c r="G889" s="2" t="str" cm="1">
        <f t="array" ref="G889">IF(_xlfn.XLOOKUP(C889,customers!A888:$A$1001,customers!C888:$C$1001,,0)=0,"",_xlfn.XLOOKUP(C889,customers!A888:$A$1001,customers!C888:$C$1001,,0))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2">
      <c r="A890" s="2" t="s">
        <v>5513</v>
      </c>
      <c r="B890" s="3">
        <v>44292</v>
      </c>
      <c r="C890" s="2" t="s">
        <v>5514</v>
      </c>
      <c r="D890" t="s">
        <v>6167</v>
      </c>
      <c r="E890" s="2">
        <v>2</v>
      </c>
      <c r="F890" s="2" t="str">
        <f>_xlfn.XLOOKUP(C890,customers!$A$1:$A$1001,customers!$B$1:$B$1001,,0)</f>
        <v>Blake Kelloway</v>
      </c>
      <c r="G890" s="2" t="str" cm="1">
        <f t="array" ref="G890">IF(_xlfn.XLOOKUP(C890,customers!A889:$A$1001,customers!C889:$C$1001,,0)=0,"",_xlfn.XLOOKUP(C890,customers!A889:$A$1001,customers!C889:$C$1001,,0))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2">
      <c r="A891" s="2" t="s">
        <v>5519</v>
      </c>
      <c r="B891" s="3">
        <v>43633</v>
      </c>
      <c r="C891" s="2" t="s">
        <v>5520</v>
      </c>
      <c r="D891" t="s">
        <v>6163</v>
      </c>
      <c r="E891" s="2">
        <v>1</v>
      </c>
      <c r="F891" s="2" t="str">
        <f>_xlfn.XLOOKUP(C891,customers!$A$1:$A$1001,customers!$B$1:$B$1001,,0)</f>
        <v>Scarlett Oliffe</v>
      </c>
      <c r="G891" s="2" t="str" cm="1">
        <f t="array" ref="G891">IF(_xlfn.XLOOKUP(C891,customers!A890:$A$1001,customers!C890:$C$1001,,0)=0,"",_xlfn.XLOOKUP(C891,customers!A890:$A$1001,customers!C890:$C$1001,,0))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2">
      <c r="A892" s="2" t="s">
        <v>5525</v>
      </c>
      <c r="B892" s="3">
        <v>44646</v>
      </c>
      <c r="C892" s="2" t="s">
        <v>5526</v>
      </c>
      <c r="D892" t="s">
        <v>6149</v>
      </c>
      <c r="E892" s="2">
        <v>1</v>
      </c>
      <c r="F892" s="2" t="str">
        <f>_xlfn.XLOOKUP(C892,customers!$A$1:$A$1001,customers!$B$1:$B$1001,,0)</f>
        <v>Kippie Marrison</v>
      </c>
      <c r="G892" s="2" t="str" cm="1">
        <f t="array" ref="G892">IF(_xlfn.XLOOKUP(C892,customers!A891:$A$1001,customers!C891:$C$1001,,0)=0,"",_xlfn.XLOOKUP(C892,customers!A891:$A$1001,customers!C891:$C$1001,,0))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2">
      <c r="A893" s="2" t="s">
        <v>5531</v>
      </c>
      <c r="B893" s="3">
        <v>44469</v>
      </c>
      <c r="C893" s="2" t="s">
        <v>5532</v>
      </c>
      <c r="D893" t="s">
        <v>6168</v>
      </c>
      <c r="E893" s="2">
        <v>5</v>
      </c>
      <c r="F893" s="2" t="str">
        <f>_xlfn.XLOOKUP(C893,customers!$A$1:$A$1001,customers!$B$1:$B$1001,,0)</f>
        <v>Celestia Dolohunty</v>
      </c>
      <c r="G893" s="2" t="str" cm="1">
        <f t="array" ref="G893">IF(_xlfn.XLOOKUP(C893,customers!A892:$A$1001,customers!C892:$C$1001,,0)=0,"",_xlfn.XLOOKUP(C893,customers!A892:$A$1001,customers!C892:$C$1001,,0))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2">
      <c r="A894" s="2" t="s">
        <v>5537</v>
      </c>
      <c r="B894" s="3">
        <v>43635</v>
      </c>
      <c r="C894" s="2" t="s">
        <v>5538</v>
      </c>
      <c r="D894" t="s">
        <v>6156</v>
      </c>
      <c r="E894" s="2">
        <v>5</v>
      </c>
      <c r="F894" s="2" t="str">
        <f>_xlfn.XLOOKUP(C894,customers!$A$1:$A$1001,customers!$B$1:$B$1001,,0)</f>
        <v>Patsy Vasilenko</v>
      </c>
      <c r="G894" s="2" t="str" cm="1">
        <f t="array" ref="G894">IF(_xlfn.XLOOKUP(C894,customers!A893:$A$1001,customers!C893:$C$1001,,0)=0,"",_xlfn.XLOOKUP(C894,customers!A893:$A$1001,customers!C893:$C$1001,,0))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2">
      <c r="A895" s="2" t="s">
        <v>5543</v>
      </c>
      <c r="B895" s="3">
        <v>44651</v>
      </c>
      <c r="C895" s="2" t="s">
        <v>5544</v>
      </c>
      <c r="D895" t="s">
        <v>6161</v>
      </c>
      <c r="E895" s="2">
        <v>6</v>
      </c>
      <c r="F895" s="2" t="str">
        <f>_xlfn.XLOOKUP(C895,customers!$A$1:$A$1001,customers!$B$1:$B$1001,,0)</f>
        <v>Raphaela Schankelborg</v>
      </c>
      <c r="G895" s="2" t="str" cm="1">
        <f t="array" ref="G895">IF(_xlfn.XLOOKUP(C895,customers!A894:$A$1001,customers!C894:$C$1001,,0)=0,"",_xlfn.XLOOKUP(C895,customers!A894:$A$1001,customers!C894:$C$1001,,0))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2">
      <c r="A896" s="2" t="s">
        <v>5548</v>
      </c>
      <c r="B896" s="3">
        <v>44016</v>
      </c>
      <c r="C896" s="2" t="s">
        <v>5549</v>
      </c>
      <c r="D896" t="s">
        <v>6149</v>
      </c>
      <c r="E896" s="2">
        <v>4</v>
      </c>
      <c r="F896" s="2" t="str">
        <f>_xlfn.XLOOKUP(C896,customers!$A$1:$A$1001,customers!$B$1:$B$1001,,0)</f>
        <v>Sharity Wickens</v>
      </c>
      <c r="G896" s="2" t="str" cm="1">
        <f t="array" ref="G896">IF(_xlfn.XLOOKUP(C896,customers!A895:$A$1001,customers!C895:$C$1001,,0)=0,"",_xlfn.XLOOKUP(C896,customers!A895:$A$1001,customers!C895:$C$1001,,0))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2">
      <c r="A897" s="2" t="s">
        <v>5553</v>
      </c>
      <c r="B897" s="3">
        <v>44521</v>
      </c>
      <c r="C897" s="2" t="s">
        <v>5554</v>
      </c>
      <c r="D897" t="s">
        <v>6166</v>
      </c>
      <c r="E897" s="2">
        <v>5</v>
      </c>
      <c r="F897" s="2" t="str">
        <f>_xlfn.XLOOKUP(C897,customers!$A$1:$A$1001,customers!$B$1:$B$1001,,0)</f>
        <v>Derick Snow</v>
      </c>
      <c r="G897" s="2" t="str" cm="1">
        <f t="array" ref="G897">IF(_xlfn.XLOOKUP(C897,customers!A896:$A$1001,customers!C896:$C$1001,,0)=0,"",_xlfn.XLOOKUP(C897,customers!A896:$A$1001,customers!C896:$C$1001,,0))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2">
      <c r="A898" s="2" t="s">
        <v>5558</v>
      </c>
      <c r="B898" s="3">
        <v>44347</v>
      </c>
      <c r="C898" s="2" t="s">
        <v>5559</v>
      </c>
      <c r="D898" t="s">
        <v>6172</v>
      </c>
      <c r="E898" s="2">
        <v>6</v>
      </c>
      <c r="F898" s="2" t="str">
        <f>_xlfn.XLOOKUP(C898,customers!$A$1:$A$1001,customers!$B$1:$B$1001,,0)</f>
        <v>Baxy Cargen</v>
      </c>
      <c r="G898" s="2" t="str" cm="1">
        <f t="array" ref="G898">IF(_xlfn.XLOOKUP(C898,customers!A897:$A$1001,customers!C897:$C$1001,,0)=0,"",_xlfn.XLOOKUP(C898,customers!A897:$A$1001,customers!C897:$C$1001,,0))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2">
      <c r="A899" s="2" t="s">
        <v>5564</v>
      </c>
      <c r="B899" s="3">
        <v>43932</v>
      </c>
      <c r="C899" s="2" t="s">
        <v>5565</v>
      </c>
      <c r="D899" t="s">
        <v>6183</v>
      </c>
      <c r="E899" s="2">
        <v>2</v>
      </c>
      <c r="F899" s="2" t="str">
        <f>_xlfn.XLOOKUP(C899,customers!$A$1:$A$1001,customers!$B$1:$B$1001,,0)</f>
        <v>Ryann Stickler</v>
      </c>
      <c r="G899" s="2" t="str" cm="1">
        <f t="array" ref="G899">IF(_xlfn.XLOOKUP(C899,customers!A898:$A$1001,customers!C898:$C$1001,,0)=0,"",_xlfn.XLOOKUP(C899,customers!A898:$A$1001,customers!C898:$C$1001,,0))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 "Robusta", IF(I899="Exc", "Excelsa", IF(I899="Ara", "Arabica", IF(I899="Lib", "Liberica", ""))))</f>
        <v>Excelsa</v>
      </c>
      <c r="O899" t="str">
        <f t="shared" ref="O899:O962" si="44">IF(J899="M", "Medium", IF(J899="L", "Light", IF(J899="D", "Dark", "")))</f>
        <v>Dark</v>
      </c>
      <c r="P899" t="str">
        <f>_xlfn.XLOOKUP(Orders[[#This Row],[Customer ID]],customers!$A$1:$A$1001,customers!$I$1:$I$1001,,0)</f>
        <v>No</v>
      </c>
    </row>
    <row r="900" spans="1:16" x14ac:dyDescent="0.2">
      <c r="A900" s="2" t="s">
        <v>5570</v>
      </c>
      <c r="B900" s="3">
        <v>44089</v>
      </c>
      <c r="C900" s="2" t="s">
        <v>5571</v>
      </c>
      <c r="D900" t="s">
        <v>6173</v>
      </c>
      <c r="E900" s="2">
        <v>5</v>
      </c>
      <c r="F900" s="2" t="str">
        <f>_xlfn.XLOOKUP(C900,customers!$A$1:$A$1001,customers!$B$1:$B$1001,,0)</f>
        <v>Daryn Cassius</v>
      </c>
      <c r="G900" s="2" t="str" cm="1">
        <f t="array" ref="G900">IF(_xlfn.XLOOKUP(C900,customers!A899:$A$1001,customers!C899:$C$1001,,0)=0,"",_xlfn.XLOOKUP(C900,customers!A899:$A$1001,customers!C899:$C$1001,,0))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2">
      <c r="A901" s="2" t="s">
        <v>5575</v>
      </c>
      <c r="B901" s="3">
        <v>44523</v>
      </c>
      <c r="C901" s="2" t="s">
        <v>5554</v>
      </c>
      <c r="D901" t="s">
        <v>6162</v>
      </c>
      <c r="E901" s="2">
        <v>5</v>
      </c>
      <c r="F901" s="2" t="str">
        <f>_xlfn.XLOOKUP(C901,customers!$A$1:$A$1001,customers!$B$1:$B$1001,,0)</f>
        <v>Derick Snow</v>
      </c>
      <c r="G901" s="2" t="e" cm="1">
        <f t="array" ref="G901">IF(_xlfn.XLOOKUP(C901,customers!A900:$A$1001,customers!C900:$C$1001,,0)=0,"",_xlfn.XLOOKUP(C901,customers!A900:$A$1001,customers!C900:$C$1001,,0))</f>
        <v>#N/A</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2">
      <c r="A902" s="2" t="s">
        <v>5580</v>
      </c>
      <c r="B902" s="3">
        <v>44584</v>
      </c>
      <c r="C902" s="2" t="s">
        <v>5581</v>
      </c>
      <c r="D902" t="s">
        <v>6170</v>
      </c>
      <c r="E902" s="2">
        <v>3</v>
      </c>
      <c r="F902" s="2" t="str">
        <f>_xlfn.XLOOKUP(C902,customers!$A$1:$A$1001,customers!$B$1:$B$1001,,0)</f>
        <v>Skelly Dolohunty</v>
      </c>
      <c r="G902" s="2" t="str" cm="1">
        <f t="array" ref="G902">IF(_xlfn.XLOOKUP(C902,customers!A901:$A$1001,customers!C901:$C$1001,,0)=0,"",_xlfn.XLOOKUP(C902,customers!A901:$A$1001,customers!C901:$C$1001,,0))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2">
      <c r="A903" s="2" t="s">
        <v>5585</v>
      </c>
      <c r="B903" s="3">
        <v>44223</v>
      </c>
      <c r="C903" s="2" t="s">
        <v>5586</v>
      </c>
      <c r="D903" t="s">
        <v>6178</v>
      </c>
      <c r="E903" s="2">
        <v>1</v>
      </c>
      <c r="F903" s="2" t="str">
        <f>_xlfn.XLOOKUP(C903,customers!$A$1:$A$1001,customers!$B$1:$B$1001,,0)</f>
        <v>Drake Jevon</v>
      </c>
      <c r="G903" s="2" t="str" cm="1">
        <f t="array" ref="G903">IF(_xlfn.XLOOKUP(C903,customers!A902:$A$1001,customers!C902:$C$1001,,0)=0,"",_xlfn.XLOOKUP(C903,customers!A902:$A$1001,customers!C902:$C$1001,,0))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2">
      <c r="A904" s="2" t="s">
        <v>5591</v>
      </c>
      <c r="B904" s="3">
        <v>43640</v>
      </c>
      <c r="C904" s="2" t="s">
        <v>5592</v>
      </c>
      <c r="D904" t="s">
        <v>6166</v>
      </c>
      <c r="E904" s="2">
        <v>5</v>
      </c>
      <c r="F904" s="2" t="str">
        <f>_xlfn.XLOOKUP(C904,customers!$A$1:$A$1001,customers!$B$1:$B$1001,,0)</f>
        <v>Hall Ranner</v>
      </c>
      <c r="G904" s="2" t="str" cm="1">
        <f t="array" ref="G904">IF(_xlfn.XLOOKUP(C904,customers!A903:$A$1001,customers!C903:$C$1001,,0)=0,"",_xlfn.XLOOKUP(C904,customers!A903:$A$1001,customers!C903:$C$1001,,0))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2">
      <c r="A905" s="2" t="s">
        <v>5597</v>
      </c>
      <c r="B905" s="3">
        <v>43905</v>
      </c>
      <c r="C905" s="2" t="s">
        <v>5598</v>
      </c>
      <c r="D905" t="s">
        <v>6160</v>
      </c>
      <c r="E905" s="2">
        <v>2</v>
      </c>
      <c r="F905" s="2" t="str">
        <f>_xlfn.XLOOKUP(C905,customers!$A$1:$A$1001,customers!$B$1:$B$1001,,0)</f>
        <v>Berkly Imrie</v>
      </c>
      <c r="G905" s="2" t="str" cm="1">
        <f t="array" ref="G905">IF(_xlfn.XLOOKUP(C905,customers!A904:$A$1001,customers!C904:$C$1001,,0)=0,"",_xlfn.XLOOKUP(C905,customers!A904:$A$1001,customers!C904:$C$1001,,0))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2">
      <c r="A906" s="2" t="s">
        <v>5603</v>
      </c>
      <c r="B906" s="3">
        <v>44463</v>
      </c>
      <c r="C906" s="2" t="s">
        <v>5604</v>
      </c>
      <c r="D906" t="s">
        <v>6182</v>
      </c>
      <c r="E906" s="2">
        <v>5</v>
      </c>
      <c r="F906" s="2" t="str">
        <f>_xlfn.XLOOKUP(C906,customers!$A$1:$A$1001,customers!$B$1:$B$1001,,0)</f>
        <v>Dorey Sopper</v>
      </c>
      <c r="G906" s="2" t="str" cm="1">
        <f t="array" ref="G906">IF(_xlfn.XLOOKUP(C906,customers!A905:$A$1001,customers!C905:$C$1001,,0)=0,"",_xlfn.XLOOKUP(C906,customers!A905:$A$1001,customers!C905:$C$1001,,0))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2">
      <c r="A907" s="2" t="s">
        <v>5609</v>
      </c>
      <c r="B907" s="3">
        <v>43560</v>
      </c>
      <c r="C907" s="2" t="s">
        <v>5610</v>
      </c>
      <c r="D907" t="s">
        <v>6157</v>
      </c>
      <c r="E907" s="2">
        <v>6</v>
      </c>
      <c r="F907" s="2" t="str">
        <f>_xlfn.XLOOKUP(C907,customers!$A$1:$A$1001,customers!$B$1:$B$1001,,0)</f>
        <v>Darcy Lochran</v>
      </c>
      <c r="G907" s="2" t="str" cm="1">
        <f t="array" ref="G907">IF(_xlfn.XLOOKUP(C907,customers!A906:$A$1001,customers!C906:$C$1001,,0)=0,"",_xlfn.XLOOKUP(C907,customers!A906:$A$1001,customers!C906:$C$1001,,0))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2">
      <c r="A908" s="2" t="s">
        <v>5614</v>
      </c>
      <c r="B908" s="3">
        <v>44588</v>
      </c>
      <c r="C908" s="2" t="s">
        <v>5615</v>
      </c>
      <c r="D908" t="s">
        <v>6157</v>
      </c>
      <c r="E908" s="2">
        <v>4</v>
      </c>
      <c r="F908" s="2" t="str">
        <f>_xlfn.XLOOKUP(C908,customers!$A$1:$A$1001,customers!$B$1:$B$1001,,0)</f>
        <v>Lauritz Ledgley</v>
      </c>
      <c r="G908" s="2" t="str" cm="1">
        <f t="array" ref="G908">IF(_xlfn.XLOOKUP(C908,customers!A907:$A$1001,customers!C907:$C$1001,,0)=0,"",_xlfn.XLOOKUP(C908,customers!A907:$A$1001,customers!C907:$C$1001,,0))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2">
      <c r="A909" s="2" t="s">
        <v>5620</v>
      </c>
      <c r="B909" s="3">
        <v>44449</v>
      </c>
      <c r="C909" s="2" t="s">
        <v>5621</v>
      </c>
      <c r="D909" t="s">
        <v>6143</v>
      </c>
      <c r="E909" s="2">
        <v>3</v>
      </c>
      <c r="F909" s="2" t="str">
        <f>_xlfn.XLOOKUP(C909,customers!$A$1:$A$1001,customers!$B$1:$B$1001,,0)</f>
        <v>Tawnya Menary</v>
      </c>
      <c r="G909" s="2" t="str" cm="1">
        <f t="array" ref="G909">IF(_xlfn.XLOOKUP(C909,customers!A908:$A$1001,customers!C908:$C$1001,,0)=0,"",_xlfn.XLOOKUP(C909,customers!A908:$A$1001,customers!C908:$C$1001,,0))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2">
      <c r="A910" s="2" t="s">
        <v>5626</v>
      </c>
      <c r="B910" s="3">
        <v>43836</v>
      </c>
      <c r="C910" s="2" t="s">
        <v>5627</v>
      </c>
      <c r="D910" t="s">
        <v>6179</v>
      </c>
      <c r="E910" s="2">
        <v>5</v>
      </c>
      <c r="F910" s="2" t="str">
        <f>_xlfn.XLOOKUP(C910,customers!$A$1:$A$1001,customers!$B$1:$B$1001,,0)</f>
        <v>Gustaf Ciccotti</v>
      </c>
      <c r="G910" s="2" t="str" cm="1">
        <f t="array" ref="G910">IF(_xlfn.XLOOKUP(C910,customers!A909:$A$1001,customers!C909:$C$1001,,0)=0,"",_xlfn.XLOOKUP(C910,customers!A909:$A$1001,customers!C909:$C$1001,,0))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2">
      <c r="A911" s="2" t="s">
        <v>5632</v>
      </c>
      <c r="B911" s="3">
        <v>44635</v>
      </c>
      <c r="C911" s="2" t="s">
        <v>5633</v>
      </c>
      <c r="D911" t="s">
        <v>6178</v>
      </c>
      <c r="E911" s="2">
        <v>3</v>
      </c>
      <c r="F911" s="2" t="str">
        <f>_xlfn.XLOOKUP(C911,customers!$A$1:$A$1001,customers!$B$1:$B$1001,,0)</f>
        <v>Bobbe Renner</v>
      </c>
      <c r="G911" s="2" t="str" cm="1">
        <f t="array" ref="G911">IF(_xlfn.XLOOKUP(C911,customers!A910:$A$1001,customers!C910:$C$1001,,0)=0,"",_xlfn.XLOOKUP(C911,customers!A910:$A$1001,customers!C910:$C$1001,,0))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2">
      <c r="A912" s="2" t="s">
        <v>5637</v>
      </c>
      <c r="B912" s="3">
        <v>44447</v>
      </c>
      <c r="C912" s="2" t="s">
        <v>5638</v>
      </c>
      <c r="D912" t="s">
        <v>6168</v>
      </c>
      <c r="E912" s="2">
        <v>4</v>
      </c>
      <c r="F912" s="2" t="str">
        <f>_xlfn.XLOOKUP(C912,customers!$A$1:$A$1001,customers!$B$1:$B$1001,,0)</f>
        <v>Wilton Jallin</v>
      </c>
      <c r="G912" s="2" t="str" cm="1">
        <f t="array" ref="G912">IF(_xlfn.XLOOKUP(C912,customers!A911:$A$1001,customers!C911:$C$1001,,0)=0,"",_xlfn.XLOOKUP(C912,customers!A911:$A$1001,customers!C911:$C$1001,,0))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2">
      <c r="A913" s="2" t="s">
        <v>5643</v>
      </c>
      <c r="B913" s="3">
        <v>44511</v>
      </c>
      <c r="C913" s="2" t="s">
        <v>5644</v>
      </c>
      <c r="D913" t="s">
        <v>6155</v>
      </c>
      <c r="E913" s="2">
        <v>4</v>
      </c>
      <c r="F913" s="2" t="str">
        <f>_xlfn.XLOOKUP(C913,customers!$A$1:$A$1001,customers!$B$1:$B$1001,,0)</f>
        <v>Mindy Bogey</v>
      </c>
      <c r="G913" s="2" t="str" cm="1">
        <f t="array" ref="G913">IF(_xlfn.XLOOKUP(C913,customers!A912:$A$1001,customers!C912:$C$1001,,0)=0,"",_xlfn.XLOOKUP(C913,customers!A912:$A$1001,customers!C912:$C$1001,,0))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2">
      <c r="A914" s="2" t="s">
        <v>5649</v>
      </c>
      <c r="B914" s="3">
        <v>43726</v>
      </c>
      <c r="C914" s="2" t="s">
        <v>5650</v>
      </c>
      <c r="D914" t="s">
        <v>6151</v>
      </c>
      <c r="E914" s="2">
        <v>6</v>
      </c>
      <c r="F914" s="2" t="str">
        <f>_xlfn.XLOOKUP(C914,customers!$A$1:$A$1001,customers!$B$1:$B$1001,,0)</f>
        <v>Paulie Fonzone</v>
      </c>
      <c r="G914" s="2" t="str" cm="1">
        <f t="array" ref="G914">IF(_xlfn.XLOOKUP(C914,customers!A913:$A$1001,customers!C913:$C$1001,,0)=0,"",_xlfn.XLOOKUP(C914,customers!A913:$A$1001,customers!C913:$C$1001,,0))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2">
      <c r="A915" s="2" t="s">
        <v>5654</v>
      </c>
      <c r="B915" s="3">
        <v>44406</v>
      </c>
      <c r="C915" s="2" t="s">
        <v>5655</v>
      </c>
      <c r="D915" t="s">
        <v>6157</v>
      </c>
      <c r="E915" s="2">
        <v>1</v>
      </c>
      <c r="F915" s="2" t="str">
        <f>_xlfn.XLOOKUP(C915,customers!$A$1:$A$1001,customers!$B$1:$B$1001,,0)</f>
        <v>Merrile Cobbledick</v>
      </c>
      <c r="G915" s="2" t="str" cm="1">
        <f t="array" ref="G915">IF(_xlfn.XLOOKUP(C915,customers!A914:$A$1001,customers!C914:$C$1001,,0)=0,"",_xlfn.XLOOKUP(C915,customers!A914:$A$1001,customers!C914:$C$1001,,0))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2">
      <c r="A916" s="2" t="s">
        <v>5660</v>
      </c>
      <c r="B916" s="3">
        <v>44640</v>
      </c>
      <c r="C916" s="2" t="s">
        <v>5661</v>
      </c>
      <c r="D916" t="s">
        <v>6155</v>
      </c>
      <c r="E916" s="2">
        <v>4</v>
      </c>
      <c r="F916" s="2" t="str">
        <f>_xlfn.XLOOKUP(C916,customers!$A$1:$A$1001,customers!$B$1:$B$1001,,0)</f>
        <v>Antonius Lewry</v>
      </c>
      <c r="G916" s="2" t="str" cm="1">
        <f t="array" ref="G916">IF(_xlfn.XLOOKUP(C916,customers!A915:$A$1001,customers!C915:$C$1001,,0)=0,"",_xlfn.XLOOKUP(C916,customers!A915:$A$1001,customers!C915:$C$1001,,0))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2">
      <c r="A917" s="2" t="s">
        <v>5666</v>
      </c>
      <c r="B917" s="3">
        <v>43955</v>
      </c>
      <c r="C917" s="2" t="s">
        <v>5667</v>
      </c>
      <c r="D917" t="s">
        <v>6185</v>
      </c>
      <c r="E917" s="2">
        <v>3</v>
      </c>
      <c r="F917" s="2" t="str">
        <f>_xlfn.XLOOKUP(C917,customers!$A$1:$A$1001,customers!$B$1:$B$1001,,0)</f>
        <v>Isis Hessel</v>
      </c>
      <c r="G917" s="2" t="str" cm="1">
        <f t="array" ref="G917">IF(_xlfn.XLOOKUP(C917,customers!A916:$A$1001,customers!C916:$C$1001,,0)=0,"",_xlfn.XLOOKUP(C917,customers!A916:$A$1001,customers!C916:$C$1001,,0))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2">
      <c r="A918" s="2" t="s">
        <v>5672</v>
      </c>
      <c r="B918" s="3">
        <v>44291</v>
      </c>
      <c r="C918" s="2" t="s">
        <v>5673</v>
      </c>
      <c r="D918" t="s">
        <v>6153</v>
      </c>
      <c r="E918" s="2">
        <v>1</v>
      </c>
      <c r="F918" s="2" t="str">
        <f>_xlfn.XLOOKUP(C918,customers!$A$1:$A$1001,customers!$B$1:$B$1001,,0)</f>
        <v>Harland Trematick</v>
      </c>
      <c r="G918" s="2" t="str" cm="1">
        <f t="array" ref="G918">IF(_xlfn.XLOOKUP(C918,customers!A917:$A$1001,customers!C917:$C$1001,,0)=0,"",_xlfn.XLOOKUP(C918,customers!A917:$A$1001,customers!C917:$C$1001,,0))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2">
      <c r="A919" s="2" t="s">
        <v>5676</v>
      </c>
      <c r="B919" s="3">
        <v>44573</v>
      </c>
      <c r="C919" s="2" t="s">
        <v>5677</v>
      </c>
      <c r="D919" t="s">
        <v>6157</v>
      </c>
      <c r="E919" s="2">
        <v>1</v>
      </c>
      <c r="F919" s="2" t="str">
        <f>_xlfn.XLOOKUP(C919,customers!$A$1:$A$1001,customers!$B$1:$B$1001,,0)</f>
        <v>Chloris Sorrell</v>
      </c>
      <c r="G919" s="2" t="str" cm="1">
        <f t="array" ref="G919">IF(_xlfn.XLOOKUP(C919,customers!A918:$A$1001,customers!C918:$C$1001,,0)=0,"",_xlfn.XLOOKUP(C919,customers!A918:$A$1001,customers!C918:$C$1001,,0))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2">
      <c r="A920" s="2" t="s">
        <v>5676</v>
      </c>
      <c r="B920" s="3">
        <v>44573</v>
      </c>
      <c r="C920" s="2" t="s">
        <v>5677</v>
      </c>
      <c r="D920" t="s">
        <v>6144</v>
      </c>
      <c r="E920" s="2">
        <v>3</v>
      </c>
      <c r="F920" s="2" t="str">
        <f>_xlfn.XLOOKUP(C920,customers!$A$1:$A$1001,customers!$B$1:$B$1001,,0)</f>
        <v>Chloris Sorrell</v>
      </c>
      <c r="G920" s="2" t="str" cm="1">
        <f t="array" ref="G920">IF(_xlfn.XLOOKUP(C920,customers!A919:$A$1001,customers!C919:$C$1001,,0)=0,"",_xlfn.XLOOKUP(C920,customers!A919:$A$1001,customers!C919:$C$1001,,0))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2">
      <c r="A921" s="2" t="s">
        <v>5687</v>
      </c>
      <c r="B921" s="3">
        <v>44181</v>
      </c>
      <c r="C921" s="2" t="s">
        <v>5688</v>
      </c>
      <c r="D921" t="s">
        <v>6163</v>
      </c>
      <c r="E921" s="2">
        <v>5</v>
      </c>
      <c r="F921" s="2" t="str">
        <f>_xlfn.XLOOKUP(C921,customers!$A$1:$A$1001,customers!$B$1:$B$1001,,0)</f>
        <v>Quintina Heavyside</v>
      </c>
      <c r="G921" s="2" t="str" cm="1">
        <f t="array" ref="G921">IF(_xlfn.XLOOKUP(C921,customers!A920:$A$1001,customers!C920:$C$1001,,0)=0,"",_xlfn.XLOOKUP(C921,customers!A920:$A$1001,customers!C920:$C$1001,,0))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2">
      <c r="A922" s="2" t="s">
        <v>5693</v>
      </c>
      <c r="B922" s="3">
        <v>44711</v>
      </c>
      <c r="C922" s="2" t="s">
        <v>5694</v>
      </c>
      <c r="D922" t="s">
        <v>6149</v>
      </c>
      <c r="E922" s="2">
        <v>6</v>
      </c>
      <c r="F922" s="2" t="str">
        <f>_xlfn.XLOOKUP(C922,customers!$A$1:$A$1001,customers!$B$1:$B$1001,,0)</f>
        <v>Hadley Reuven</v>
      </c>
      <c r="G922" s="2" t="str" cm="1">
        <f t="array" ref="G922">IF(_xlfn.XLOOKUP(C922,customers!A921:$A$1001,customers!C921:$C$1001,,0)=0,"",_xlfn.XLOOKUP(C922,customers!A921:$A$1001,customers!C921:$C$1001,,0))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2">
      <c r="A923" s="2" t="s">
        <v>5699</v>
      </c>
      <c r="B923" s="3">
        <v>44509</v>
      </c>
      <c r="C923" s="2" t="s">
        <v>5700</v>
      </c>
      <c r="D923" t="s">
        <v>6150</v>
      </c>
      <c r="E923" s="2">
        <v>2</v>
      </c>
      <c r="F923" s="2" t="str">
        <f>_xlfn.XLOOKUP(C923,customers!$A$1:$A$1001,customers!$B$1:$B$1001,,0)</f>
        <v>Mitch Attwool</v>
      </c>
      <c r="G923" s="2" t="str" cm="1">
        <f t="array" ref="G923">IF(_xlfn.XLOOKUP(C923,customers!A922:$A$1001,customers!C922:$C$1001,,0)=0,"",_xlfn.XLOOKUP(C923,customers!A922:$A$1001,customers!C922:$C$1001,,0))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2">
      <c r="A924" s="2" t="s">
        <v>5705</v>
      </c>
      <c r="B924" s="3">
        <v>44659</v>
      </c>
      <c r="C924" s="2" t="s">
        <v>5706</v>
      </c>
      <c r="D924" t="s">
        <v>6155</v>
      </c>
      <c r="E924" s="2">
        <v>6</v>
      </c>
      <c r="F924" s="2" t="str">
        <f>_xlfn.XLOOKUP(C924,customers!$A$1:$A$1001,customers!$B$1:$B$1001,,0)</f>
        <v>Charin Maplethorp</v>
      </c>
      <c r="G924" s="2" t="str" cm="1">
        <f t="array" ref="G924">IF(_xlfn.XLOOKUP(C924,customers!A923:$A$1001,customers!C923:$C$1001,,0)=0,"",_xlfn.XLOOKUP(C924,customers!A923:$A$1001,customers!C923:$C$1001,,0))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2">
      <c r="A925" s="2" t="s">
        <v>5709</v>
      </c>
      <c r="B925" s="3">
        <v>43746</v>
      </c>
      <c r="C925" s="2" t="s">
        <v>5710</v>
      </c>
      <c r="D925" t="s">
        <v>6185</v>
      </c>
      <c r="E925" s="2">
        <v>1</v>
      </c>
      <c r="F925" s="2" t="str">
        <f>_xlfn.XLOOKUP(C925,customers!$A$1:$A$1001,customers!$B$1:$B$1001,,0)</f>
        <v>Goldie Wynes</v>
      </c>
      <c r="G925" s="2" t="str" cm="1">
        <f t="array" ref="G925">IF(_xlfn.XLOOKUP(C925,customers!A924:$A$1001,customers!C924:$C$1001,,0)=0,"",_xlfn.XLOOKUP(C925,customers!A924:$A$1001,customers!C924:$C$1001,,0))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2">
      <c r="A926" s="2" t="s">
        <v>5715</v>
      </c>
      <c r="B926" s="3">
        <v>44451</v>
      </c>
      <c r="C926" s="2" t="s">
        <v>5716</v>
      </c>
      <c r="D926" t="s">
        <v>6182</v>
      </c>
      <c r="E926" s="2">
        <v>3</v>
      </c>
      <c r="F926" s="2" t="str">
        <f>_xlfn.XLOOKUP(C926,customers!$A$1:$A$1001,customers!$B$1:$B$1001,,0)</f>
        <v>Celie MacCourt</v>
      </c>
      <c r="G926" s="2" t="str" cm="1">
        <f t="array" ref="G926">IF(_xlfn.XLOOKUP(C926,customers!A925:$A$1001,customers!C925:$C$1001,,0)=0,"",_xlfn.XLOOKUP(C926,customers!A925:$A$1001,customers!C925:$C$1001,,0))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2">
      <c r="A927" s="2" t="s">
        <v>5720</v>
      </c>
      <c r="B927" s="3">
        <v>44770</v>
      </c>
      <c r="C927" s="2" t="s">
        <v>5554</v>
      </c>
      <c r="D927" t="s">
        <v>6157</v>
      </c>
      <c r="E927" s="2">
        <v>3</v>
      </c>
      <c r="F927" s="2" t="str">
        <f>_xlfn.XLOOKUP(C927,customers!$A$1:$A$1001,customers!$B$1:$B$1001,,0)</f>
        <v>Derick Snow</v>
      </c>
      <c r="G927" s="2" t="e" cm="1">
        <f t="array" ref="G927">IF(_xlfn.XLOOKUP(C927,customers!A926:$A$1001,customers!C926:$C$1001,,0)=0,"",_xlfn.XLOOKUP(C927,customers!A926:$A$1001,customers!C926:$C$1001,,0))</f>
        <v>#N/A</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2">
      <c r="A928" s="2" t="s">
        <v>5725</v>
      </c>
      <c r="B928" s="3">
        <v>44012</v>
      </c>
      <c r="C928" s="2" t="s">
        <v>5726</v>
      </c>
      <c r="D928" t="s">
        <v>6157</v>
      </c>
      <c r="E928" s="2">
        <v>5</v>
      </c>
      <c r="F928" s="2" t="str">
        <f>_xlfn.XLOOKUP(C928,customers!$A$1:$A$1001,customers!$B$1:$B$1001,,0)</f>
        <v>Evy Wilsone</v>
      </c>
      <c r="G928" s="2" t="str" cm="1">
        <f t="array" ref="G928">IF(_xlfn.XLOOKUP(C928,customers!A927:$A$1001,customers!C927:$C$1001,,0)=0,"",_xlfn.XLOOKUP(C928,customers!A927:$A$1001,customers!C927:$C$1001,,0))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2">
      <c r="A929" s="2" t="s">
        <v>5731</v>
      </c>
      <c r="B929" s="3">
        <v>43474</v>
      </c>
      <c r="C929" s="2" t="s">
        <v>5732</v>
      </c>
      <c r="D929" t="s">
        <v>6185</v>
      </c>
      <c r="E929" s="2">
        <v>4</v>
      </c>
      <c r="F929" s="2" t="str">
        <f>_xlfn.XLOOKUP(C929,customers!$A$1:$A$1001,customers!$B$1:$B$1001,,0)</f>
        <v>Dolores Duffie</v>
      </c>
      <c r="G929" s="2" t="str" cm="1">
        <f t="array" ref="G929">IF(_xlfn.XLOOKUP(C929,customers!A928:$A$1001,customers!C928:$C$1001,,0)=0,"",_xlfn.XLOOKUP(C929,customers!A928:$A$1001,customers!C928:$C$1001,,0))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2">
      <c r="A930" s="2" t="s">
        <v>5737</v>
      </c>
      <c r="B930" s="3">
        <v>44754</v>
      </c>
      <c r="C930" s="2" t="s">
        <v>5738</v>
      </c>
      <c r="D930" t="s">
        <v>6166</v>
      </c>
      <c r="E930" s="2">
        <v>2</v>
      </c>
      <c r="F930" s="2" t="str">
        <f>_xlfn.XLOOKUP(C930,customers!$A$1:$A$1001,customers!$B$1:$B$1001,,0)</f>
        <v>Mathilda Matiasek</v>
      </c>
      <c r="G930" s="2" t="str" cm="1">
        <f t="array" ref="G930">IF(_xlfn.XLOOKUP(C930,customers!A929:$A$1001,customers!C929:$C$1001,,0)=0,"",_xlfn.XLOOKUP(C930,customers!A929:$A$1001,customers!C929:$C$1001,,0))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2">
      <c r="A931" s="2" t="s">
        <v>5742</v>
      </c>
      <c r="B931" s="3">
        <v>44165</v>
      </c>
      <c r="C931" s="2" t="s">
        <v>5743</v>
      </c>
      <c r="D931" t="s">
        <v>6184</v>
      </c>
      <c r="E931" s="2">
        <v>2</v>
      </c>
      <c r="F931" s="2" t="str">
        <f>_xlfn.XLOOKUP(C931,customers!$A$1:$A$1001,customers!$B$1:$B$1001,,0)</f>
        <v>Jarred Camillo</v>
      </c>
      <c r="G931" s="2" t="str" cm="1">
        <f t="array" ref="G931">IF(_xlfn.XLOOKUP(C931,customers!A930:$A$1001,customers!C930:$C$1001,,0)=0,"",_xlfn.XLOOKUP(C931,customers!A930:$A$1001,customers!C930:$C$1001,,0))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2">
      <c r="A932" s="2" t="s">
        <v>5748</v>
      </c>
      <c r="B932" s="3">
        <v>43546</v>
      </c>
      <c r="C932" s="2" t="s">
        <v>5749</v>
      </c>
      <c r="D932" t="s">
        <v>6183</v>
      </c>
      <c r="E932" s="2">
        <v>1</v>
      </c>
      <c r="F932" s="2" t="str">
        <f>_xlfn.XLOOKUP(C932,customers!$A$1:$A$1001,customers!$B$1:$B$1001,,0)</f>
        <v>Kameko Philbrick</v>
      </c>
      <c r="G932" s="2" t="str" cm="1">
        <f t="array" ref="G932">IF(_xlfn.XLOOKUP(C932,customers!A931:$A$1001,customers!C931:$C$1001,,0)=0,"",_xlfn.XLOOKUP(C932,customers!A931:$A$1001,customers!C931:$C$1001,,0))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2">
      <c r="A933" s="2" t="s">
        <v>5753</v>
      </c>
      <c r="B933" s="3">
        <v>44607</v>
      </c>
      <c r="C933" s="2" t="s">
        <v>5754</v>
      </c>
      <c r="D933" t="s">
        <v>6158</v>
      </c>
      <c r="E933" s="2">
        <v>4</v>
      </c>
      <c r="F933" s="2" t="str">
        <f>_xlfn.XLOOKUP(C933,customers!$A$1:$A$1001,customers!$B$1:$B$1001,,0)</f>
        <v>Mallory Shrimpling</v>
      </c>
      <c r="G933" s="2" t="str" cm="1">
        <f t="array" ref="G933">IF(_xlfn.XLOOKUP(C933,customers!A932:$A$1001,customers!C932:$C$1001,,0)=0,"",_xlfn.XLOOKUP(C933,customers!A932:$A$1001,customers!C932:$C$1001,,0))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2">
      <c r="A934" s="2" t="s">
        <v>5757</v>
      </c>
      <c r="B934" s="3">
        <v>44117</v>
      </c>
      <c r="C934" s="2" t="s">
        <v>5758</v>
      </c>
      <c r="D934" t="s">
        <v>6141</v>
      </c>
      <c r="E934" s="2">
        <v>4</v>
      </c>
      <c r="F934" s="2" t="str">
        <f>_xlfn.XLOOKUP(C934,customers!$A$1:$A$1001,customers!$B$1:$B$1001,,0)</f>
        <v>Barnett Sillis</v>
      </c>
      <c r="G934" s="2" t="str" cm="1">
        <f t="array" ref="G934">IF(_xlfn.XLOOKUP(C934,customers!A933:$A$1001,customers!C933:$C$1001,,0)=0,"",_xlfn.XLOOKUP(C934,customers!A933:$A$1001,customers!C933:$C$1001,,0))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2">
      <c r="A935" s="2" t="s">
        <v>5763</v>
      </c>
      <c r="B935" s="3">
        <v>44557</v>
      </c>
      <c r="C935" s="2" t="s">
        <v>5764</v>
      </c>
      <c r="D935" t="s">
        <v>6177</v>
      </c>
      <c r="E935" s="2">
        <v>3</v>
      </c>
      <c r="F935" s="2" t="str">
        <f>_xlfn.XLOOKUP(C935,customers!$A$1:$A$1001,customers!$B$1:$B$1001,,0)</f>
        <v>Brenn Dundredge</v>
      </c>
      <c r="G935" s="2" t="str" cm="1">
        <f t="array" ref="G935">IF(_xlfn.XLOOKUP(C935,customers!A934:$A$1001,customers!C934:$C$1001,,0)=0,"",_xlfn.XLOOKUP(C935,customers!A934:$A$1001,customers!C934:$C$1001,,0))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2">
      <c r="A936" s="2" t="s">
        <v>5768</v>
      </c>
      <c r="B936" s="3">
        <v>44409</v>
      </c>
      <c r="C936" s="2" t="s">
        <v>5769</v>
      </c>
      <c r="D936" t="s">
        <v>6151</v>
      </c>
      <c r="E936" s="2">
        <v>5</v>
      </c>
      <c r="F936" s="2" t="str">
        <f>_xlfn.XLOOKUP(C936,customers!$A$1:$A$1001,customers!$B$1:$B$1001,,0)</f>
        <v>Read Cutts</v>
      </c>
      <c r="G936" s="2" t="str" cm="1">
        <f t="array" ref="G936">IF(_xlfn.XLOOKUP(C936,customers!A935:$A$1001,customers!C935:$C$1001,,0)=0,"",_xlfn.XLOOKUP(C936,customers!A935:$A$1001,customers!C935:$C$1001,,0))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2">
      <c r="A937" s="2" t="s">
        <v>5774</v>
      </c>
      <c r="B937" s="3">
        <v>44153</v>
      </c>
      <c r="C937" s="2" t="s">
        <v>5775</v>
      </c>
      <c r="D937" t="s">
        <v>6175</v>
      </c>
      <c r="E937" s="2">
        <v>6</v>
      </c>
      <c r="F937" s="2" t="str">
        <f>_xlfn.XLOOKUP(C937,customers!$A$1:$A$1001,customers!$B$1:$B$1001,,0)</f>
        <v>Michale Delves</v>
      </c>
      <c r="G937" s="2" t="str" cm="1">
        <f t="array" ref="G937">IF(_xlfn.XLOOKUP(C937,customers!A936:$A$1001,customers!C936:$C$1001,,0)=0,"",_xlfn.XLOOKUP(C937,customers!A936:$A$1001,customers!C936:$C$1001,,0))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2">
      <c r="A938" s="2" t="s">
        <v>5780</v>
      </c>
      <c r="B938" s="3">
        <v>44493</v>
      </c>
      <c r="C938" s="2" t="s">
        <v>5781</v>
      </c>
      <c r="D938" t="s">
        <v>6169</v>
      </c>
      <c r="E938" s="2">
        <v>3</v>
      </c>
      <c r="F938" s="2" t="str">
        <f>_xlfn.XLOOKUP(C938,customers!$A$1:$A$1001,customers!$B$1:$B$1001,,0)</f>
        <v>Devland Gritton</v>
      </c>
      <c r="G938" s="2" t="str" cm="1">
        <f t="array" ref="G938">IF(_xlfn.XLOOKUP(C938,customers!A937:$A$1001,customers!C937:$C$1001,,0)=0,"",_xlfn.XLOOKUP(C938,customers!A937:$A$1001,customers!C937:$C$1001,,0))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2">
      <c r="A939" s="2" t="s">
        <v>5780</v>
      </c>
      <c r="B939" s="3">
        <v>44493</v>
      </c>
      <c r="C939" s="2" t="s">
        <v>5781</v>
      </c>
      <c r="D939" t="s">
        <v>6151</v>
      </c>
      <c r="E939" s="2">
        <v>4</v>
      </c>
      <c r="F939" s="2" t="str">
        <f>_xlfn.XLOOKUP(C939,customers!$A$1:$A$1001,customers!$B$1:$B$1001,,0)</f>
        <v>Devland Gritton</v>
      </c>
      <c r="G939" s="2" t="str" cm="1">
        <f t="array" ref="G939">IF(_xlfn.XLOOKUP(C939,customers!A938:$A$1001,customers!C938:$C$1001,,0)=0,"",_xlfn.XLOOKUP(C939,customers!A938:$A$1001,customers!C938:$C$1001,,0))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2">
      <c r="A940" s="2" t="s">
        <v>5791</v>
      </c>
      <c r="B940" s="3">
        <v>43829</v>
      </c>
      <c r="C940" s="2" t="s">
        <v>5792</v>
      </c>
      <c r="D940" t="s">
        <v>6171</v>
      </c>
      <c r="E940" s="2">
        <v>5</v>
      </c>
      <c r="F940" s="2" t="str">
        <f>_xlfn.XLOOKUP(C940,customers!$A$1:$A$1001,customers!$B$1:$B$1001,,0)</f>
        <v>Dell Gut</v>
      </c>
      <c r="G940" s="2" t="str" cm="1">
        <f t="array" ref="G940">IF(_xlfn.XLOOKUP(C940,customers!A939:$A$1001,customers!C939:$C$1001,,0)=0,"",_xlfn.XLOOKUP(C940,customers!A939:$A$1001,customers!C939:$C$1001,,0))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2">
      <c r="A941" s="2" t="s">
        <v>5797</v>
      </c>
      <c r="B941" s="3">
        <v>44229</v>
      </c>
      <c r="C941" s="2" t="s">
        <v>5798</v>
      </c>
      <c r="D941" t="s">
        <v>6145</v>
      </c>
      <c r="E941" s="2">
        <v>6</v>
      </c>
      <c r="F941" s="2" t="str">
        <f>_xlfn.XLOOKUP(C941,customers!$A$1:$A$1001,customers!$B$1:$B$1001,,0)</f>
        <v>Willy Pummery</v>
      </c>
      <c r="G941" s="2" t="str" cm="1">
        <f t="array" ref="G941">IF(_xlfn.XLOOKUP(C941,customers!A940:$A$1001,customers!C940:$C$1001,,0)=0,"",_xlfn.XLOOKUP(C941,customers!A940:$A$1001,customers!C940:$C$1001,,0))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2">
      <c r="A942" s="2" t="s">
        <v>5803</v>
      </c>
      <c r="B942" s="3">
        <v>44332</v>
      </c>
      <c r="C942" s="2" t="s">
        <v>5804</v>
      </c>
      <c r="D942" t="s">
        <v>6173</v>
      </c>
      <c r="E942" s="2">
        <v>2</v>
      </c>
      <c r="F942" s="2" t="str">
        <f>_xlfn.XLOOKUP(C942,customers!$A$1:$A$1001,customers!$B$1:$B$1001,,0)</f>
        <v>Geoffrey Siuda</v>
      </c>
      <c r="G942" s="2" t="str" cm="1">
        <f t="array" ref="G942">IF(_xlfn.XLOOKUP(C942,customers!A941:$A$1001,customers!C941:$C$1001,,0)=0,"",_xlfn.XLOOKUP(C942,customers!A941:$A$1001,customers!C941:$C$1001,,0))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2">
      <c r="A943" s="2" t="s">
        <v>5809</v>
      </c>
      <c r="B943" s="3">
        <v>44674</v>
      </c>
      <c r="C943" s="2" t="s">
        <v>5810</v>
      </c>
      <c r="D943" t="s">
        <v>6180</v>
      </c>
      <c r="E943" s="2">
        <v>2</v>
      </c>
      <c r="F943" s="2" t="str">
        <f>_xlfn.XLOOKUP(C943,customers!$A$1:$A$1001,customers!$B$1:$B$1001,,0)</f>
        <v>Henderson Crowne</v>
      </c>
      <c r="G943" s="2" t="str" cm="1">
        <f t="array" ref="G943">IF(_xlfn.XLOOKUP(C943,customers!A942:$A$1001,customers!C942:$C$1001,,0)=0,"",_xlfn.XLOOKUP(C943,customers!A942:$A$1001,customers!C942:$C$1001,,0))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2">
      <c r="A944" s="2" t="s">
        <v>5816</v>
      </c>
      <c r="B944" s="3">
        <v>44464</v>
      </c>
      <c r="C944" s="2" t="s">
        <v>5817</v>
      </c>
      <c r="D944" t="s">
        <v>6179</v>
      </c>
      <c r="E944" s="2">
        <v>3</v>
      </c>
      <c r="F944" s="2" t="str">
        <f>_xlfn.XLOOKUP(C944,customers!$A$1:$A$1001,customers!$B$1:$B$1001,,0)</f>
        <v>Vernor Pawsey</v>
      </c>
      <c r="G944" s="2" t="str" cm="1">
        <f t="array" ref="G944">IF(_xlfn.XLOOKUP(C944,customers!A943:$A$1001,customers!C943:$C$1001,,0)=0,"",_xlfn.XLOOKUP(C944,customers!A943:$A$1001,customers!C943:$C$1001,,0))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2">
      <c r="A945" s="2" t="s">
        <v>5822</v>
      </c>
      <c r="B945" s="3">
        <v>44719</v>
      </c>
      <c r="C945" s="2" t="s">
        <v>5823</v>
      </c>
      <c r="D945" t="s">
        <v>6180</v>
      </c>
      <c r="E945" s="2">
        <v>6</v>
      </c>
      <c r="F945" s="2" t="str">
        <f>_xlfn.XLOOKUP(C945,customers!$A$1:$A$1001,customers!$B$1:$B$1001,,0)</f>
        <v>Augustin Waterhouse</v>
      </c>
      <c r="G945" s="2" t="str" cm="1">
        <f t="array" ref="G945">IF(_xlfn.XLOOKUP(C945,customers!A944:$A$1001,customers!C944:$C$1001,,0)=0,"",_xlfn.XLOOKUP(C945,customers!A944:$A$1001,customers!C944:$C$1001,,0))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2">
      <c r="A946" s="2" t="s">
        <v>5828</v>
      </c>
      <c r="B946" s="3">
        <v>44054</v>
      </c>
      <c r="C946" s="2" t="s">
        <v>5829</v>
      </c>
      <c r="D946" t="s">
        <v>6173</v>
      </c>
      <c r="E946" s="2">
        <v>5</v>
      </c>
      <c r="F946" s="2" t="str">
        <f>_xlfn.XLOOKUP(C946,customers!$A$1:$A$1001,customers!$B$1:$B$1001,,0)</f>
        <v>Fanchon Haughian</v>
      </c>
      <c r="G946" s="2" t="str" cm="1">
        <f t="array" ref="G946">IF(_xlfn.XLOOKUP(C946,customers!A945:$A$1001,customers!C945:$C$1001,,0)=0,"",_xlfn.XLOOKUP(C946,customers!A945:$A$1001,customers!C945:$C$1001,,0))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2">
      <c r="A947" s="2" t="s">
        <v>5834</v>
      </c>
      <c r="B947" s="3">
        <v>43524</v>
      </c>
      <c r="C947" s="2" t="s">
        <v>5835</v>
      </c>
      <c r="D947" t="s">
        <v>6165</v>
      </c>
      <c r="E947" s="2">
        <v>4</v>
      </c>
      <c r="F947" s="2" t="str">
        <f>_xlfn.XLOOKUP(C947,customers!$A$1:$A$1001,customers!$B$1:$B$1001,,0)</f>
        <v>Jaimie Hatz</v>
      </c>
      <c r="G947" s="2" t="str" cm="1">
        <f t="array" ref="G947">IF(_xlfn.XLOOKUP(C947,customers!A946:$A$1001,customers!C946:$C$1001,,0)=0,"",_xlfn.XLOOKUP(C947,customers!A946:$A$1001,customers!C946:$C$1001,,0))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2">
      <c r="A948" s="2" t="s">
        <v>5839</v>
      </c>
      <c r="B948" s="3">
        <v>43719</v>
      </c>
      <c r="C948" s="2" t="s">
        <v>5840</v>
      </c>
      <c r="D948" t="s">
        <v>6169</v>
      </c>
      <c r="E948" s="2">
        <v>3</v>
      </c>
      <c r="F948" s="2" t="str">
        <f>_xlfn.XLOOKUP(C948,customers!$A$1:$A$1001,customers!$B$1:$B$1001,,0)</f>
        <v>Edeline Edney</v>
      </c>
      <c r="G948" s="2" t="str" cm="1">
        <f t="array" ref="G948">IF(_xlfn.XLOOKUP(C948,customers!A947:$A$1001,customers!C947:$C$1001,,0)=0,"",_xlfn.XLOOKUP(C948,customers!A947:$A$1001,customers!C947:$C$1001,,0))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2">
      <c r="A949" s="2" t="s">
        <v>5844</v>
      </c>
      <c r="B949" s="3">
        <v>44294</v>
      </c>
      <c r="C949" s="2" t="s">
        <v>5845</v>
      </c>
      <c r="D949" t="s">
        <v>6155</v>
      </c>
      <c r="E949" s="2">
        <v>1</v>
      </c>
      <c r="F949" s="2" t="str">
        <f>_xlfn.XLOOKUP(C949,customers!$A$1:$A$1001,customers!$B$1:$B$1001,,0)</f>
        <v>Rickie Faltin</v>
      </c>
      <c r="G949" s="2" t="str" cm="1">
        <f t="array" ref="G949">IF(_xlfn.XLOOKUP(C949,customers!A948:$A$1001,customers!C948:$C$1001,,0)=0,"",_xlfn.XLOOKUP(C949,customers!A948:$A$1001,customers!C948:$C$1001,,0))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2">
      <c r="A950" s="2" t="s">
        <v>5849</v>
      </c>
      <c r="B950" s="3">
        <v>44445</v>
      </c>
      <c r="C950" s="2" t="s">
        <v>5850</v>
      </c>
      <c r="D950" t="s">
        <v>6185</v>
      </c>
      <c r="E950" s="2">
        <v>3</v>
      </c>
      <c r="F950" s="2" t="str">
        <f>_xlfn.XLOOKUP(C950,customers!$A$1:$A$1001,customers!$B$1:$B$1001,,0)</f>
        <v>Gnni Cheeke</v>
      </c>
      <c r="G950" s="2" t="str" cm="1">
        <f t="array" ref="G950">IF(_xlfn.XLOOKUP(C950,customers!A949:$A$1001,customers!C949:$C$1001,,0)=0,"",_xlfn.XLOOKUP(C950,customers!A949:$A$1001,customers!C949:$C$1001,,0))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2">
      <c r="A951" s="2" t="s">
        <v>5855</v>
      </c>
      <c r="B951" s="3">
        <v>44449</v>
      </c>
      <c r="C951" s="2" t="s">
        <v>5856</v>
      </c>
      <c r="D951" t="s">
        <v>6142</v>
      </c>
      <c r="E951" s="2">
        <v>4</v>
      </c>
      <c r="F951" s="2" t="str">
        <f>_xlfn.XLOOKUP(C951,customers!$A$1:$A$1001,customers!$B$1:$B$1001,,0)</f>
        <v>Gwenni Ratt</v>
      </c>
      <c r="G951" s="2" t="str" cm="1">
        <f t="array" ref="G951">IF(_xlfn.XLOOKUP(C951,customers!A950:$A$1001,customers!C950:$C$1001,,0)=0,"",_xlfn.XLOOKUP(C951,customers!A950:$A$1001,customers!C950:$C$1001,,0))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2">
      <c r="A952" s="2" t="s">
        <v>5861</v>
      </c>
      <c r="B952" s="3">
        <v>44703</v>
      </c>
      <c r="C952" s="2" t="s">
        <v>5862</v>
      </c>
      <c r="D952" t="s">
        <v>6178</v>
      </c>
      <c r="E952" s="2">
        <v>4</v>
      </c>
      <c r="F952" s="2" t="str">
        <f>_xlfn.XLOOKUP(C952,customers!$A$1:$A$1001,customers!$B$1:$B$1001,,0)</f>
        <v>Johnath Fairebrother</v>
      </c>
      <c r="G952" s="2" t="str" cm="1">
        <f t="array" ref="G952">IF(_xlfn.XLOOKUP(C952,customers!A951:$A$1001,customers!C951:$C$1001,,0)=0,"",_xlfn.XLOOKUP(C952,customers!A951:$A$1001,customers!C951:$C$1001,,0))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2">
      <c r="A953" s="2" t="s">
        <v>5866</v>
      </c>
      <c r="B953" s="3">
        <v>44092</v>
      </c>
      <c r="C953" s="2" t="s">
        <v>5867</v>
      </c>
      <c r="D953" t="s">
        <v>6178</v>
      </c>
      <c r="E953" s="2">
        <v>6</v>
      </c>
      <c r="F953" s="2" t="str">
        <f>_xlfn.XLOOKUP(C953,customers!$A$1:$A$1001,customers!$B$1:$B$1001,,0)</f>
        <v>Ingamar Eberlein</v>
      </c>
      <c r="G953" s="2" t="str" cm="1">
        <f t="array" ref="G953">IF(_xlfn.XLOOKUP(C953,customers!A952:$A$1001,customers!C952:$C$1001,,0)=0,"",_xlfn.XLOOKUP(C953,customers!A952:$A$1001,customers!C952:$C$1001,,0))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2">
      <c r="A954" s="2" t="s">
        <v>5872</v>
      </c>
      <c r="B954" s="3">
        <v>44439</v>
      </c>
      <c r="C954" s="2" t="s">
        <v>5873</v>
      </c>
      <c r="D954" t="s">
        <v>6155</v>
      </c>
      <c r="E954" s="2">
        <v>2</v>
      </c>
      <c r="F954" s="2" t="str">
        <f>_xlfn.XLOOKUP(C954,customers!$A$1:$A$1001,customers!$B$1:$B$1001,,0)</f>
        <v>Jilly Dreng</v>
      </c>
      <c r="G954" s="2" t="str" cm="1">
        <f t="array" ref="G954">IF(_xlfn.XLOOKUP(C954,customers!A953:$A$1001,customers!C953:$C$1001,,0)=0,"",_xlfn.XLOOKUP(C954,customers!A953:$A$1001,customers!C953:$C$1001,,0))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2">
      <c r="A955" s="2" t="s">
        <v>5878</v>
      </c>
      <c r="B955" s="3">
        <v>44582</v>
      </c>
      <c r="C955" s="2" t="s">
        <v>5764</v>
      </c>
      <c r="D955" t="s">
        <v>6167</v>
      </c>
      <c r="E955" s="2">
        <v>1</v>
      </c>
      <c r="F955" s="2" t="str">
        <f>_xlfn.XLOOKUP(C955,customers!$A$1:$A$1001,customers!$B$1:$B$1001,,0)</f>
        <v>Brenn Dundredge</v>
      </c>
      <c r="G955" s="2" t="e" cm="1">
        <f t="array" ref="G955">IF(_xlfn.XLOOKUP(C955,customers!A954:$A$1001,customers!C954:$C$1001,,0)=0,"",_xlfn.XLOOKUP(C955,customers!A954:$A$1001,customers!C954:$C$1001,,0))</f>
        <v>#N/A</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2">
      <c r="A956" s="2" t="s">
        <v>5884</v>
      </c>
      <c r="B956" s="3">
        <v>44722</v>
      </c>
      <c r="C956" s="2" t="s">
        <v>5764</v>
      </c>
      <c r="D956" t="s">
        <v>6185</v>
      </c>
      <c r="E956" s="2">
        <v>1</v>
      </c>
      <c r="F956" s="2" t="str">
        <f>_xlfn.XLOOKUP(C956,customers!$A$1:$A$1001,customers!$B$1:$B$1001,,0)</f>
        <v>Brenn Dundredge</v>
      </c>
      <c r="G956" s="2" t="e" cm="1">
        <f t="array" ref="G956">IF(_xlfn.XLOOKUP(C956,customers!A955:$A$1001,customers!C955:$C$1001,,0)=0,"",_xlfn.XLOOKUP(C956,customers!A955:$A$1001,customers!C955:$C$1001,,0))</f>
        <v>#N/A</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2">
      <c r="A957" s="2" t="s">
        <v>5890</v>
      </c>
      <c r="B957" s="3">
        <v>43582</v>
      </c>
      <c r="C957" s="2" t="s">
        <v>5764</v>
      </c>
      <c r="D957" t="s">
        <v>6148</v>
      </c>
      <c r="E957" s="2">
        <v>5</v>
      </c>
      <c r="F957" s="2" t="str">
        <f>_xlfn.XLOOKUP(C957,customers!$A$1:$A$1001,customers!$B$1:$B$1001,,0)</f>
        <v>Brenn Dundredge</v>
      </c>
      <c r="G957" s="2" t="e" cm="1">
        <f t="array" ref="G957">IF(_xlfn.XLOOKUP(C957,customers!A956:$A$1001,customers!C956:$C$1001,,0)=0,"",_xlfn.XLOOKUP(C957,customers!A956:$A$1001,customers!C956:$C$1001,,0))</f>
        <v>#N/A</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2">
      <c r="A958" s="2" t="s">
        <v>5890</v>
      </c>
      <c r="B958" s="3">
        <v>43582</v>
      </c>
      <c r="C958" s="2" t="s">
        <v>5764</v>
      </c>
      <c r="D958" t="s">
        <v>6142</v>
      </c>
      <c r="E958" s="2">
        <v>2</v>
      </c>
      <c r="F958" s="2" t="str">
        <f>_xlfn.XLOOKUP(C958,customers!$A$1:$A$1001,customers!$B$1:$B$1001,,0)</f>
        <v>Brenn Dundredge</v>
      </c>
      <c r="G958" s="2" t="e" cm="1">
        <f t="array" ref="G958">IF(_xlfn.XLOOKUP(C958,customers!A957:$A$1001,customers!C957:$C$1001,,0)=0,"",_xlfn.XLOOKUP(C958,customers!A957:$A$1001,customers!C957:$C$1001,,0))</f>
        <v>#N/A</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2">
      <c r="A959" s="2" t="s">
        <v>5890</v>
      </c>
      <c r="B959" s="3">
        <v>43582</v>
      </c>
      <c r="C959" s="2" t="s">
        <v>5764</v>
      </c>
      <c r="D959" t="s">
        <v>6171</v>
      </c>
      <c r="E959" s="2">
        <v>1</v>
      </c>
      <c r="F959" s="2" t="str">
        <f>_xlfn.XLOOKUP(C959,customers!$A$1:$A$1001,customers!$B$1:$B$1001,,0)</f>
        <v>Brenn Dundredge</v>
      </c>
      <c r="G959" s="2" t="e" cm="1">
        <f t="array" ref="G959">IF(_xlfn.XLOOKUP(C959,customers!A958:$A$1001,customers!C958:$C$1001,,0)=0,"",_xlfn.XLOOKUP(C959,customers!A958:$A$1001,customers!C958:$C$1001,,0))</f>
        <v>#N/A</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2">
      <c r="A960" s="2" t="s">
        <v>5890</v>
      </c>
      <c r="B960" s="3">
        <v>43582</v>
      </c>
      <c r="C960" s="2" t="s">
        <v>5764</v>
      </c>
      <c r="D960" t="s">
        <v>6167</v>
      </c>
      <c r="E960" s="2">
        <v>2</v>
      </c>
      <c r="F960" s="2" t="str">
        <f>_xlfn.XLOOKUP(C960,customers!$A$1:$A$1001,customers!$B$1:$B$1001,,0)</f>
        <v>Brenn Dundredge</v>
      </c>
      <c r="G960" s="2" t="e" cm="1">
        <f t="array" ref="G960">IF(_xlfn.XLOOKUP(C960,customers!A959:$A$1001,customers!C959:$C$1001,,0)=0,"",_xlfn.XLOOKUP(C960,customers!A959:$A$1001,customers!C959:$C$1001,,0))</f>
        <v>#N/A</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2">
      <c r="A961" s="2" t="s">
        <v>5910</v>
      </c>
      <c r="B961" s="3">
        <v>44598</v>
      </c>
      <c r="C961" s="2" t="s">
        <v>5911</v>
      </c>
      <c r="D961" t="s">
        <v>6145</v>
      </c>
      <c r="E961" s="2">
        <v>5</v>
      </c>
      <c r="F961" s="2" t="str">
        <f>_xlfn.XLOOKUP(C961,customers!$A$1:$A$1001,customers!$B$1:$B$1001,,0)</f>
        <v>Rhodie Strathern</v>
      </c>
      <c r="G961" s="2" t="str" cm="1">
        <f t="array" ref="G961">IF(_xlfn.XLOOKUP(C961,customers!A960:$A$1001,customers!C960:$C$1001,,0)=0,"",_xlfn.XLOOKUP(C961,customers!A960:$A$1001,customers!C960:$C$1001,,0))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2">
      <c r="A962" s="2" t="s">
        <v>5915</v>
      </c>
      <c r="B962" s="3">
        <v>44591</v>
      </c>
      <c r="C962" s="2" t="s">
        <v>5916</v>
      </c>
      <c r="D962" t="s">
        <v>6170</v>
      </c>
      <c r="E962" s="2">
        <v>5</v>
      </c>
      <c r="F962" s="2" t="str">
        <f>_xlfn.XLOOKUP(C962,customers!$A$1:$A$1001,customers!$B$1:$B$1001,,0)</f>
        <v>Chad Miguel</v>
      </c>
      <c r="G962" s="2" t="str" cm="1">
        <f t="array" ref="G962">IF(_xlfn.XLOOKUP(C962,customers!A961:$A$1001,customers!C961:$C$1001,,0)=0,"",_xlfn.XLOOKUP(C962,customers!A961:$A$1001,customers!C961:$C$1001,,0))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2">
      <c r="A963" s="2" t="s">
        <v>5921</v>
      </c>
      <c r="B963" s="3">
        <v>44158</v>
      </c>
      <c r="C963" s="2" t="s">
        <v>5922</v>
      </c>
      <c r="D963" t="s">
        <v>6168</v>
      </c>
      <c r="E963" s="2">
        <v>2</v>
      </c>
      <c r="F963" s="2" t="str">
        <f>_xlfn.XLOOKUP(C963,customers!$A$1:$A$1001,customers!$B$1:$B$1001,,0)</f>
        <v>Florinda Matusovsky</v>
      </c>
      <c r="G963" s="2" t="str" cm="1">
        <f t="array" ref="G963">IF(_xlfn.XLOOKUP(C963,customers!A962:$A$1001,customers!C962:$C$1001,,0)=0,"",_xlfn.XLOOKUP(C963,customers!A962:$A$1001,customers!C962:$C$1001,,0))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 "Robusta", IF(I963="Exc", "Excelsa", IF(I963="Ara", "Arabica", IF(I963="Lib", "Liberica", ""))))</f>
        <v>Arabica</v>
      </c>
      <c r="O963" t="str">
        <f t="shared" ref="O963:O1001" si="47">IF(J963="M", "Medium", IF(J963="L", "Light", IF(J963="D", "Dark", "")))</f>
        <v>Dark</v>
      </c>
      <c r="P963" t="str">
        <f>_xlfn.XLOOKUP(Orders[[#This Row],[Customer ID]],customers!$A$1:$A$1001,customers!$I$1:$I$1001,,0)</f>
        <v>Yes</v>
      </c>
    </row>
    <row r="964" spans="1:16" x14ac:dyDescent="0.2">
      <c r="A964" s="2" t="s">
        <v>5926</v>
      </c>
      <c r="B964" s="3">
        <v>44664</v>
      </c>
      <c r="C964" s="2" t="s">
        <v>5927</v>
      </c>
      <c r="D964" t="s">
        <v>6177</v>
      </c>
      <c r="E964" s="2">
        <v>1</v>
      </c>
      <c r="F964" s="2" t="str">
        <f>_xlfn.XLOOKUP(C964,customers!$A$1:$A$1001,customers!$B$1:$B$1001,,0)</f>
        <v>Morly Rocks</v>
      </c>
      <c r="G964" s="2" t="str" cm="1">
        <f t="array" ref="G964">IF(_xlfn.XLOOKUP(C964,customers!A963:$A$1001,customers!C963:$C$1001,,0)=0,"",_xlfn.XLOOKUP(C964,customers!A963:$A$1001,customers!C963:$C$1001,,0))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2">
      <c r="A965" s="2" t="s">
        <v>5932</v>
      </c>
      <c r="B965" s="3">
        <v>44203</v>
      </c>
      <c r="C965" s="2" t="s">
        <v>5933</v>
      </c>
      <c r="D965" t="s">
        <v>6146</v>
      </c>
      <c r="E965" s="2">
        <v>4</v>
      </c>
      <c r="F965" s="2" t="str">
        <f>_xlfn.XLOOKUP(C965,customers!$A$1:$A$1001,customers!$B$1:$B$1001,,0)</f>
        <v>Yuri Burrells</v>
      </c>
      <c r="G965" s="2" t="str" cm="1">
        <f t="array" ref="G965">IF(_xlfn.XLOOKUP(C965,customers!A964:$A$1001,customers!C964:$C$1001,,0)=0,"",_xlfn.XLOOKUP(C965,customers!A964:$A$1001,customers!C964:$C$1001,,0))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2">
      <c r="A966" s="2" t="s">
        <v>5938</v>
      </c>
      <c r="B966" s="3">
        <v>43865</v>
      </c>
      <c r="C966" s="2" t="s">
        <v>5939</v>
      </c>
      <c r="D966" t="s">
        <v>6184</v>
      </c>
      <c r="E966" s="2">
        <v>5</v>
      </c>
      <c r="F966" s="2" t="str">
        <f>_xlfn.XLOOKUP(C966,customers!$A$1:$A$1001,customers!$B$1:$B$1001,,0)</f>
        <v>Cleopatra Goodrum</v>
      </c>
      <c r="G966" s="2" t="str" cm="1">
        <f t="array" ref="G966">IF(_xlfn.XLOOKUP(C966,customers!A965:$A$1001,customers!C965:$C$1001,,0)=0,"",_xlfn.XLOOKUP(C966,customers!A965:$A$1001,customers!C965:$C$1001,,0))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2">
      <c r="A967" s="2" t="s">
        <v>5944</v>
      </c>
      <c r="B967" s="3">
        <v>43724</v>
      </c>
      <c r="C967" s="2" t="s">
        <v>5945</v>
      </c>
      <c r="D967" t="s">
        <v>6138</v>
      </c>
      <c r="E967" s="2">
        <v>3</v>
      </c>
      <c r="F967" s="2" t="str">
        <f>_xlfn.XLOOKUP(C967,customers!$A$1:$A$1001,customers!$B$1:$B$1001,,0)</f>
        <v>Joey Jefferys</v>
      </c>
      <c r="G967" s="2" t="str" cm="1">
        <f t="array" ref="G967">IF(_xlfn.XLOOKUP(C967,customers!A966:$A$1001,customers!C966:$C$1001,,0)=0,"",_xlfn.XLOOKUP(C967,customers!A966:$A$1001,customers!C966:$C$1001,,0))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2">
      <c r="A968" s="2" t="s">
        <v>5949</v>
      </c>
      <c r="B968" s="3">
        <v>43491</v>
      </c>
      <c r="C968" s="2" t="s">
        <v>5950</v>
      </c>
      <c r="D968" t="s">
        <v>6176</v>
      </c>
      <c r="E968" s="2">
        <v>6</v>
      </c>
      <c r="F968" s="2" t="str">
        <f>_xlfn.XLOOKUP(C968,customers!$A$1:$A$1001,customers!$B$1:$B$1001,,0)</f>
        <v>Bearnard Wardell</v>
      </c>
      <c r="G968" s="2" t="str" cm="1">
        <f t="array" ref="G968">IF(_xlfn.XLOOKUP(C968,customers!A967:$A$1001,customers!C967:$C$1001,,0)=0,"",_xlfn.XLOOKUP(C968,customers!A967:$A$1001,customers!C967:$C$1001,,0))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2">
      <c r="A969" s="2" t="s">
        <v>5955</v>
      </c>
      <c r="B969" s="3">
        <v>44246</v>
      </c>
      <c r="C969" s="2" t="s">
        <v>5956</v>
      </c>
      <c r="D969" t="s">
        <v>6163</v>
      </c>
      <c r="E969" s="2">
        <v>1</v>
      </c>
      <c r="F969" s="2" t="str">
        <f>_xlfn.XLOOKUP(C969,customers!$A$1:$A$1001,customers!$B$1:$B$1001,,0)</f>
        <v>Zeke Walisiak</v>
      </c>
      <c r="G969" s="2" t="str" cm="1">
        <f t="array" ref="G969">IF(_xlfn.XLOOKUP(C969,customers!A968:$A$1001,customers!C968:$C$1001,,0)=0,"",_xlfn.XLOOKUP(C969,customers!A968:$A$1001,customers!C968:$C$1001,,0))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2">
      <c r="A970" s="2" t="s">
        <v>5961</v>
      </c>
      <c r="B970" s="3">
        <v>44642</v>
      </c>
      <c r="C970" s="2" t="s">
        <v>5962</v>
      </c>
      <c r="D970" t="s">
        <v>6174</v>
      </c>
      <c r="E970" s="2">
        <v>2</v>
      </c>
      <c r="F970" s="2" t="str">
        <f>_xlfn.XLOOKUP(C970,customers!$A$1:$A$1001,customers!$B$1:$B$1001,,0)</f>
        <v>Wiley Leopold</v>
      </c>
      <c r="G970" s="2" t="str" cm="1">
        <f t="array" ref="G970">IF(_xlfn.XLOOKUP(C970,customers!A969:$A$1001,customers!C969:$C$1001,,0)=0,"",_xlfn.XLOOKUP(C970,customers!A969:$A$1001,customers!C969:$C$1001,,0))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2">
      <c r="A971" s="2" t="s">
        <v>5967</v>
      </c>
      <c r="B971" s="3">
        <v>43649</v>
      </c>
      <c r="C971" s="2" t="s">
        <v>5968</v>
      </c>
      <c r="D971" t="s">
        <v>6143</v>
      </c>
      <c r="E971" s="2">
        <v>1</v>
      </c>
      <c r="F971" s="2" t="str">
        <f>_xlfn.XLOOKUP(C971,customers!$A$1:$A$1001,customers!$B$1:$B$1001,,0)</f>
        <v>Chiarra Shalders</v>
      </c>
      <c r="G971" s="2" t="str" cm="1">
        <f t="array" ref="G971">IF(_xlfn.XLOOKUP(C971,customers!A970:$A$1001,customers!C970:$C$1001,,0)=0,"",_xlfn.XLOOKUP(C971,customers!A970:$A$1001,customers!C970:$C$1001,,0))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2">
      <c r="A972" s="2" t="s">
        <v>5973</v>
      </c>
      <c r="B972" s="3">
        <v>43729</v>
      </c>
      <c r="C972" s="2" t="s">
        <v>5974</v>
      </c>
      <c r="D972" t="s">
        <v>6139</v>
      </c>
      <c r="E972" s="2">
        <v>1</v>
      </c>
      <c r="F972" s="2" t="str">
        <f>_xlfn.XLOOKUP(C972,customers!$A$1:$A$1001,customers!$B$1:$B$1001,,0)</f>
        <v>Sharl Southerill</v>
      </c>
      <c r="G972" s="2" t="str" cm="1">
        <f t="array" ref="G972">IF(_xlfn.XLOOKUP(C972,customers!A971:$A$1001,customers!C971:$C$1001,,0)=0,"",_xlfn.XLOOKUP(C972,customers!A971:$A$1001,customers!C971:$C$1001,,0))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2">
      <c r="A973" s="2" t="s">
        <v>5978</v>
      </c>
      <c r="B973" s="3">
        <v>43703</v>
      </c>
      <c r="C973" s="2" t="s">
        <v>5979</v>
      </c>
      <c r="D973" t="s">
        <v>6182</v>
      </c>
      <c r="E973" s="2">
        <v>5</v>
      </c>
      <c r="F973" s="2" t="str">
        <f>_xlfn.XLOOKUP(C973,customers!$A$1:$A$1001,customers!$B$1:$B$1001,,0)</f>
        <v>Noni Furber</v>
      </c>
      <c r="G973" s="2" t="str" cm="1">
        <f t="array" ref="G973">IF(_xlfn.XLOOKUP(C973,customers!A972:$A$1001,customers!C972:$C$1001,,0)=0,"",_xlfn.XLOOKUP(C973,customers!A972:$A$1001,customers!C972:$C$1001,,0))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2">
      <c r="A974" s="2" t="s">
        <v>5984</v>
      </c>
      <c r="B974" s="3">
        <v>44411</v>
      </c>
      <c r="C974" s="2" t="s">
        <v>5985</v>
      </c>
      <c r="D974" t="s">
        <v>6182</v>
      </c>
      <c r="E974" s="2">
        <v>3</v>
      </c>
      <c r="F974" s="2" t="str">
        <f>_xlfn.XLOOKUP(C974,customers!$A$1:$A$1001,customers!$B$1:$B$1001,,0)</f>
        <v>Dinah Crutcher</v>
      </c>
      <c r="G974" s="2" t="str" cm="1">
        <f t="array" ref="G974">IF(_xlfn.XLOOKUP(C974,customers!A973:$A$1001,customers!C973:$C$1001,,0)=0,"",_xlfn.XLOOKUP(C974,customers!A973:$A$1001,customers!C973:$C$1001,,0))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2">
      <c r="A975" s="2" t="s">
        <v>5989</v>
      </c>
      <c r="B975" s="3">
        <v>44493</v>
      </c>
      <c r="C975" s="2" t="s">
        <v>5990</v>
      </c>
      <c r="D975" t="s">
        <v>6162</v>
      </c>
      <c r="E975" s="2">
        <v>6</v>
      </c>
      <c r="F975" s="2" t="str">
        <f>_xlfn.XLOOKUP(C975,customers!$A$1:$A$1001,customers!$B$1:$B$1001,,0)</f>
        <v>Charlean Keave</v>
      </c>
      <c r="G975" s="2" t="str" cm="1">
        <f t="array" ref="G975">IF(_xlfn.XLOOKUP(C975,customers!A974:$A$1001,customers!C974:$C$1001,,0)=0,"",_xlfn.XLOOKUP(C975,customers!A974:$A$1001,customers!C974:$C$1001,,0))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2">
      <c r="A976" s="2" t="s">
        <v>5995</v>
      </c>
      <c r="B976" s="3">
        <v>43556</v>
      </c>
      <c r="C976" s="2" t="s">
        <v>5996</v>
      </c>
      <c r="D976" t="s">
        <v>6172</v>
      </c>
      <c r="E976" s="2">
        <v>1</v>
      </c>
      <c r="F976" s="2" t="str">
        <f>_xlfn.XLOOKUP(C976,customers!$A$1:$A$1001,customers!$B$1:$B$1001,,0)</f>
        <v>Sada Roseborough</v>
      </c>
      <c r="G976" s="2" t="str" cm="1">
        <f t="array" ref="G976">IF(_xlfn.XLOOKUP(C976,customers!A975:$A$1001,customers!C975:$C$1001,,0)=0,"",_xlfn.XLOOKUP(C976,customers!A975:$A$1001,customers!C975:$C$1001,,0))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2">
      <c r="A977" s="2" t="s">
        <v>6001</v>
      </c>
      <c r="B977" s="3">
        <v>44538</v>
      </c>
      <c r="C977" s="2" t="s">
        <v>6002</v>
      </c>
      <c r="D977" t="s">
        <v>6154</v>
      </c>
      <c r="E977" s="2">
        <v>3</v>
      </c>
      <c r="F977" s="2" t="str">
        <f>_xlfn.XLOOKUP(C977,customers!$A$1:$A$1001,customers!$B$1:$B$1001,,0)</f>
        <v>Clayton Kingwell</v>
      </c>
      <c r="G977" s="2" t="str" cm="1">
        <f t="array" ref="G977">IF(_xlfn.XLOOKUP(C977,customers!A976:$A$1001,customers!C976:$C$1001,,0)=0,"",_xlfn.XLOOKUP(C977,customers!A976:$A$1001,customers!C976:$C$1001,,0))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2">
      <c r="A978" s="2" t="s">
        <v>6007</v>
      </c>
      <c r="B978" s="3">
        <v>43643</v>
      </c>
      <c r="C978" s="2" t="s">
        <v>6008</v>
      </c>
      <c r="D978" t="s">
        <v>6142</v>
      </c>
      <c r="E978" s="2">
        <v>5</v>
      </c>
      <c r="F978" s="2" t="str">
        <f>_xlfn.XLOOKUP(C978,customers!$A$1:$A$1001,customers!$B$1:$B$1001,,0)</f>
        <v>Kacy Canto</v>
      </c>
      <c r="G978" s="2" t="str" cm="1">
        <f t="array" ref="G978">IF(_xlfn.XLOOKUP(C978,customers!A977:$A$1001,customers!C977:$C$1001,,0)=0,"",_xlfn.XLOOKUP(C978,customers!A977:$A$1001,customers!C977:$C$1001,,0))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2">
      <c r="A979" s="2" t="s">
        <v>6013</v>
      </c>
      <c r="B979" s="3">
        <v>44026</v>
      </c>
      <c r="C979" s="2" t="s">
        <v>6014</v>
      </c>
      <c r="D979" t="s">
        <v>6179</v>
      </c>
      <c r="E979" s="2">
        <v>5</v>
      </c>
      <c r="F979" s="2" t="str">
        <f>_xlfn.XLOOKUP(C979,customers!$A$1:$A$1001,customers!$B$1:$B$1001,,0)</f>
        <v>Mab Blakemore</v>
      </c>
      <c r="G979" s="2" t="str" cm="1">
        <f t="array" ref="G979">IF(_xlfn.XLOOKUP(C979,customers!A978:$A$1001,customers!C978:$C$1001,,0)=0,"",_xlfn.XLOOKUP(C979,customers!A978:$A$1001,customers!C978:$C$1001,,0))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2">
      <c r="A980" s="2" t="s">
        <v>6019</v>
      </c>
      <c r="B980" s="3">
        <v>43913</v>
      </c>
      <c r="C980" s="2" t="s">
        <v>5990</v>
      </c>
      <c r="D980" t="s">
        <v>6180</v>
      </c>
      <c r="E980" s="2">
        <v>3</v>
      </c>
      <c r="F980" s="2" t="str">
        <f>_xlfn.XLOOKUP(C980,customers!$A$1:$A$1001,customers!$B$1:$B$1001,,0)</f>
        <v>Charlean Keave</v>
      </c>
      <c r="G980" s="2" t="e" cm="1">
        <f t="array" ref="G980">IF(_xlfn.XLOOKUP(C980,customers!A979:$A$1001,customers!C979:$C$1001,,0)=0,"",_xlfn.XLOOKUP(C980,customers!A979:$A$1001,customers!C979:$C$1001,,0))</f>
        <v>#N/A</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2">
      <c r="A981" s="2" t="s">
        <v>6025</v>
      </c>
      <c r="B981" s="3">
        <v>43856</v>
      </c>
      <c r="C981" s="2" t="s">
        <v>6026</v>
      </c>
      <c r="D981" t="s">
        <v>6172</v>
      </c>
      <c r="E981" s="2">
        <v>2</v>
      </c>
      <c r="F981" s="2" t="str">
        <f>_xlfn.XLOOKUP(C981,customers!$A$1:$A$1001,customers!$B$1:$B$1001,,0)</f>
        <v>Javier Causnett</v>
      </c>
      <c r="G981" s="2" t="str" cm="1">
        <f t="array" ref="G981">IF(_xlfn.XLOOKUP(C981,customers!A980:$A$1001,customers!C980:$C$1001,,0)=0,"",_xlfn.XLOOKUP(C981,customers!A980:$A$1001,customers!C980:$C$1001,,0))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2">
      <c r="A982" s="2" t="s">
        <v>6030</v>
      </c>
      <c r="B982" s="3">
        <v>43982</v>
      </c>
      <c r="C982" s="2" t="s">
        <v>6031</v>
      </c>
      <c r="D982" t="s">
        <v>6185</v>
      </c>
      <c r="E982" s="2">
        <v>6</v>
      </c>
      <c r="F982" s="2" t="str">
        <f>_xlfn.XLOOKUP(C982,customers!$A$1:$A$1001,customers!$B$1:$B$1001,,0)</f>
        <v>Demetris Micheli</v>
      </c>
      <c r="G982" s="2" t="str" cm="1">
        <f t="array" ref="G982">IF(_xlfn.XLOOKUP(C982,customers!A981:$A$1001,customers!C981:$C$1001,,0)=0,"",_xlfn.XLOOKUP(C982,customers!A981:$A$1001,customers!C981:$C$1001,,0))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2">
      <c r="A983" s="2" t="s">
        <v>6035</v>
      </c>
      <c r="B983" s="3">
        <v>44397</v>
      </c>
      <c r="C983" s="2" t="s">
        <v>6036</v>
      </c>
      <c r="D983" t="s">
        <v>6153</v>
      </c>
      <c r="E983" s="2">
        <v>6</v>
      </c>
      <c r="F983" s="2" t="str">
        <f>_xlfn.XLOOKUP(C983,customers!$A$1:$A$1001,customers!$B$1:$B$1001,,0)</f>
        <v>Chloette Bernardot</v>
      </c>
      <c r="G983" s="2" t="str" cm="1">
        <f t="array" ref="G983">IF(_xlfn.XLOOKUP(C983,customers!A982:$A$1001,customers!C982:$C$1001,,0)=0,"",_xlfn.XLOOKUP(C983,customers!A982:$A$1001,customers!C982:$C$1001,,0))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2">
      <c r="A984" s="2" t="s">
        <v>6041</v>
      </c>
      <c r="B984" s="3">
        <v>44785</v>
      </c>
      <c r="C984" s="2" t="s">
        <v>6042</v>
      </c>
      <c r="D984" t="s">
        <v>6179</v>
      </c>
      <c r="E984" s="2">
        <v>2</v>
      </c>
      <c r="F984" s="2" t="str">
        <f>_xlfn.XLOOKUP(C984,customers!$A$1:$A$1001,customers!$B$1:$B$1001,,0)</f>
        <v>Kim Kemery</v>
      </c>
      <c r="G984" s="2" t="str" cm="1">
        <f t="array" ref="G984">IF(_xlfn.XLOOKUP(C984,customers!A983:$A$1001,customers!C983:$C$1001,,0)=0,"",_xlfn.XLOOKUP(C984,customers!A983:$A$1001,customers!C983:$C$1001,,0))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2">
      <c r="A985" s="2" t="s">
        <v>6047</v>
      </c>
      <c r="B985" s="3">
        <v>43831</v>
      </c>
      <c r="C985" s="2" t="s">
        <v>6048</v>
      </c>
      <c r="D985" t="s">
        <v>6152</v>
      </c>
      <c r="E985" s="2">
        <v>2</v>
      </c>
      <c r="F985" s="2" t="str">
        <f>_xlfn.XLOOKUP(C985,customers!$A$1:$A$1001,customers!$B$1:$B$1001,,0)</f>
        <v>Fanchette Parlot</v>
      </c>
      <c r="G985" s="2" t="str" cm="1">
        <f t="array" ref="G985">IF(_xlfn.XLOOKUP(C985,customers!A984:$A$1001,customers!C984:$C$1001,,0)=0,"",_xlfn.XLOOKUP(C985,customers!A984:$A$1001,customers!C984:$C$1001,,0))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2">
      <c r="A986" s="2" t="s">
        <v>6053</v>
      </c>
      <c r="B986" s="3">
        <v>44214</v>
      </c>
      <c r="C986" s="2" t="s">
        <v>6054</v>
      </c>
      <c r="D986" t="s">
        <v>6166</v>
      </c>
      <c r="E986" s="2">
        <v>1</v>
      </c>
      <c r="F986" s="2" t="str">
        <f>_xlfn.XLOOKUP(C986,customers!$A$1:$A$1001,customers!$B$1:$B$1001,,0)</f>
        <v>Ramon Cheak</v>
      </c>
      <c r="G986" s="2" t="str" cm="1">
        <f t="array" ref="G986">IF(_xlfn.XLOOKUP(C986,customers!A985:$A$1001,customers!C985:$C$1001,,0)=0,"",_xlfn.XLOOKUP(C986,customers!A985:$A$1001,customers!C985:$C$1001,,0))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2">
      <c r="A987" s="2" t="s">
        <v>6058</v>
      </c>
      <c r="B987" s="3">
        <v>44561</v>
      </c>
      <c r="C987" s="2" t="s">
        <v>6059</v>
      </c>
      <c r="D987" t="s">
        <v>6179</v>
      </c>
      <c r="E987" s="2">
        <v>4</v>
      </c>
      <c r="F987" s="2" t="str">
        <f>_xlfn.XLOOKUP(C987,customers!$A$1:$A$1001,customers!$B$1:$B$1001,,0)</f>
        <v>Koressa O'Geneay</v>
      </c>
      <c r="G987" s="2" t="str" cm="1">
        <f t="array" ref="G987">IF(_xlfn.XLOOKUP(C987,customers!A986:$A$1001,customers!C986:$C$1001,,0)=0,"",_xlfn.XLOOKUP(C987,customers!A986:$A$1001,customers!C986:$C$1001,,0))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2">
      <c r="A988" s="2" t="s">
        <v>6064</v>
      </c>
      <c r="B988" s="3">
        <v>43955</v>
      </c>
      <c r="C988" s="2" t="s">
        <v>6065</v>
      </c>
      <c r="D988" t="s">
        <v>6181</v>
      </c>
      <c r="E988" s="2">
        <v>1</v>
      </c>
      <c r="F988" s="2" t="str">
        <f>_xlfn.XLOOKUP(C988,customers!$A$1:$A$1001,customers!$B$1:$B$1001,,0)</f>
        <v>Claudell Ayre</v>
      </c>
      <c r="G988" s="2" t="str" cm="1">
        <f t="array" ref="G988">IF(_xlfn.XLOOKUP(C988,customers!A987:$A$1001,customers!C987:$C$1001,,0)=0,"",_xlfn.XLOOKUP(C988,customers!A987:$A$1001,customers!C987:$C$1001,,0))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2">
      <c r="A989" s="2" t="s">
        <v>6070</v>
      </c>
      <c r="B989" s="3">
        <v>44247</v>
      </c>
      <c r="C989" s="2" t="s">
        <v>6071</v>
      </c>
      <c r="D989" t="s">
        <v>6158</v>
      </c>
      <c r="E989" s="2">
        <v>5</v>
      </c>
      <c r="F989" s="2" t="str">
        <f>_xlfn.XLOOKUP(C989,customers!$A$1:$A$1001,customers!$B$1:$B$1001,,0)</f>
        <v>Lorianne Kyneton</v>
      </c>
      <c r="G989" s="2" t="str" cm="1">
        <f t="array" ref="G989">IF(_xlfn.XLOOKUP(C989,customers!A988:$A$1001,customers!C988:$C$1001,,0)=0,"",_xlfn.XLOOKUP(C989,customers!A988:$A$1001,customers!C988:$C$1001,,0))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2">
      <c r="A990" s="2" t="s">
        <v>6076</v>
      </c>
      <c r="B990" s="3">
        <v>43897</v>
      </c>
      <c r="C990" s="2" t="s">
        <v>6077</v>
      </c>
      <c r="D990" t="s">
        <v>6138</v>
      </c>
      <c r="E990" s="2">
        <v>3</v>
      </c>
      <c r="F990" s="2" t="str">
        <f>_xlfn.XLOOKUP(C990,customers!$A$1:$A$1001,customers!$B$1:$B$1001,,0)</f>
        <v>Adele McFayden</v>
      </c>
      <c r="G990" s="2" t="str" cm="1">
        <f t="array" ref="G990">IF(_xlfn.XLOOKUP(C990,customers!A989:$A$1001,customers!C989:$C$1001,,0)=0,"",_xlfn.XLOOKUP(C990,customers!A989:$A$1001,customers!C989:$C$1001,,0))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2">
      <c r="A991" s="2" t="s">
        <v>6081</v>
      </c>
      <c r="B991" s="3">
        <v>43560</v>
      </c>
      <c r="C991" s="2" t="s">
        <v>6082</v>
      </c>
      <c r="D991" t="s">
        <v>6175</v>
      </c>
      <c r="E991" s="2">
        <v>6</v>
      </c>
      <c r="F991" s="2" t="str">
        <f>_xlfn.XLOOKUP(C991,customers!$A$1:$A$1001,customers!$B$1:$B$1001,,0)</f>
        <v>Herta Layne</v>
      </c>
      <c r="G991" s="2" t="str" cm="1">
        <f t="array" ref="G991">IF(_xlfn.XLOOKUP(C991,customers!A990:$A$1001,customers!C990:$C$1001,,0)=0,"",_xlfn.XLOOKUP(C991,customers!A990:$A$1001,customers!C990:$C$1001,,0))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2">
      <c r="A992" s="2" t="s">
        <v>6086</v>
      </c>
      <c r="B992" s="3">
        <v>44718</v>
      </c>
      <c r="C992" s="2" t="s">
        <v>6118</v>
      </c>
      <c r="D992" t="s">
        <v>6153</v>
      </c>
      <c r="E992" s="2">
        <v>5</v>
      </c>
      <c r="F992" s="2" t="str">
        <f>_xlfn.XLOOKUP(C992,customers!$A$1:$A$1001,customers!$B$1:$B$1001,,0)</f>
        <v>Marguerite Graves</v>
      </c>
      <c r="G992" s="2" t="str" cm="1">
        <f t="array" ref="G992">IF(_xlfn.XLOOKUP(C992,customers!A991:$A$1001,customers!C991:$C$1001,,0)=0,"",_xlfn.XLOOKUP(C992,customers!A991:$A$1001,customers!C991:$C$1001,,0))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2">
      <c r="A993" s="2" t="s">
        <v>6086</v>
      </c>
      <c r="B993" s="3">
        <v>44718</v>
      </c>
      <c r="C993" s="2" t="s">
        <v>6118</v>
      </c>
      <c r="D993" t="s">
        <v>6169</v>
      </c>
      <c r="E993" s="2">
        <v>2</v>
      </c>
      <c r="F993" s="2" t="str">
        <f>_xlfn.XLOOKUP(C993,customers!$A$1:$A$1001,customers!$B$1:$B$1001,,0)</f>
        <v>Marguerite Graves</v>
      </c>
      <c r="G993" s="2" t="str" cm="1">
        <f t="array" ref="G993">IF(_xlfn.XLOOKUP(C993,customers!A992:$A$1001,customers!C992:$C$1001,,0)=0,"",_xlfn.XLOOKUP(C993,customers!A992:$A$1001,customers!C992:$C$1001,,0))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2">
      <c r="A994" s="2" t="s">
        <v>6096</v>
      </c>
      <c r="B994" s="3">
        <v>44276</v>
      </c>
      <c r="C994" s="2" t="s">
        <v>6097</v>
      </c>
      <c r="D994" t="s">
        <v>6164</v>
      </c>
      <c r="E994" s="2">
        <v>3</v>
      </c>
      <c r="F994" s="2" t="str">
        <f>_xlfn.XLOOKUP(C994,customers!$A$1:$A$1001,customers!$B$1:$B$1001,,0)</f>
        <v>Desdemona Eye</v>
      </c>
      <c r="G994" s="2" t="str" cm="1">
        <f t="array" ref="G994">IF(_xlfn.XLOOKUP(C994,customers!A993:$A$1001,customers!C993:$C$1001,,0)=0,"",_xlfn.XLOOKUP(C994,customers!A993:$A$1001,customers!C993:$C$1001,,0))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2">
      <c r="A995" s="2" t="s">
        <v>6101</v>
      </c>
      <c r="B995" s="3">
        <v>44549</v>
      </c>
      <c r="C995" s="2" t="s">
        <v>6102</v>
      </c>
      <c r="D995" t="s">
        <v>6140</v>
      </c>
      <c r="E995" s="2">
        <v>6</v>
      </c>
      <c r="F995" s="2" t="str">
        <f>_xlfn.XLOOKUP(C995,customers!$A$1:$A$1001,customers!$B$1:$B$1001,,0)</f>
        <v>Margarette Sterland</v>
      </c>
      <c r="G995" s="2" t="str" cm="1">
        <f t="array" ref="G995">IF(_xlfn.XLOOKUP(C995,customers!A994:$A$1001,customers!C994:$C$1001,,0)=0,"",_xlfn.XLOOKUP(C995,customers!A994:$A$1001,customers!C994:$C$1001,,0))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2">
      <c r="A996" s="2" t="s">
        <v>6106</v>
      </c>
      <c r="B996" s="3">
        <v>44244</v>
      </c>
      <c r="C996" s="2" t="s">
        <v>6107</v>
      </c>
      <c r="D996" t="s">
        <v>6154</v>
      </c>
      <c r="E996" s="2">
        <v>3</v>
      </c>
      <c r="F996" s="2" t="str">
        <f>_xlfn.XLOOKUP(C996,customers!$A$1:$A$1001,customers!$B$1:$B$1001,,0)</f>
        <v>Catharine Scoines</v>
      </c>
      <c r="G996" s="2" t="str" cm="1">
        <f t="array" ref="G996">IF(_xlfn.XLOOKUP(C996,customers!A995:$A$1001,customers!C995:$C$1001,,0)=0,"",_xlfn.XLOOKUP(C996,customers!A995:$A$1001,customers!C995:$C$1001,,0))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2">
      <c r="A997" s="2" t="s">
        <v>6111</v>
      </c>
      <c r="B997" s="3">
        <v>43836</v>
      </c>
      <c r="C997" s="2" t="s">
        <v>6112</v>
      </c>
      <c r="D997" t="s">
        <v>6142</v>
      </c>
      <c r="E997" s="2">
        <v>1</v>
      </c>
      <c r="F997" s="2" t="str">
        <f>_xlfn.XLOOKUP(C997,customers!$A$1:$A$1001,customers!$B$1:$B$1001,,0)</f>
        <v>Jennica Tewelson</v>
      </c>
      <c r="G997" s="2" t="str" cm="1">
        <f t="array" ref="G997">IF(_xlfn.XLOOKUP(C997,customers!A996:$A$1001,customers!C996:$C$1001,,0)=0,"",_xlfn.XLOOKUP(C997,customers!A996:$A$1001,customers!C996:$C$1001,,0))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2">
      <c r="A998" s="2" t="s">
        <v>6117</v>
      </c>
      <c r="B998" s="3">
        <v>44685</v>
      </c>
      <c r="C998" s="2" t="s">
        <v>6118</v>
      </c>
      <c r="D998" t="s">
        <v>6146</v>
      </c>
      <c r="E998" s="2">
        <v>5</v>
      </c>
      <c r="F998" s="2" t="str">
        <f>_xlfn.XLOOKUP(C998,customers!$A$1:$A$1001,customers!$B$1:$B$1001,,0)</f>
        <v>Marguerite Graves</v>
      </c>
      <c r="G998" s="2" t="str" cm="1">
        <f t="array" ref="G998">IF(_xlfn.XLOOKUP(C998,customers!A997:$A$1001,customers!C997:$C$1001,,0)=0,"",_xlfn.XLOOKUP(C998,customers!A997:$A$1001,customers!C997:$C$1001,,0))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2">
      <c r="A999" s="2" t="s">
        <v>6122</v>
      </c>
      <c r="B999" s="3">
        <v>43749</v>
      </c>
      <c r="C999" s="2" t="s">
        <v>6118</v>
      </c>
      <c r="D999" t="s">
        <v>6157</v>
      </c>
      <c r="E999" s="2">
        <v>4</v>
      </c>
      <c r="F999" s="2" t="str">
        <f>_xlfn.XLOOKUP(C999,customers!$A$1:$A$1001,customers!$B$1:$B$1001,,0)</f>
        <v>Marguerite Graves</v>
      </c>
      <c r="G999" s="2" t="str" cm="1">
        <f t="array" ref="G999">IF(_xlfn.XLOOKUP(C999,customers!A998:$A$1001,customers!C998:$C$1001,,0)=0,"",_xlfn.XLOOKUP(C999,customers!A998:$A$1001,customers!C998:$C$1001,,0))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2">
      <c r="A1000" s="2" t="s">
        <v>6127</v>
      </c>
      <c r="B1000" s="3">
        <v>44411</v>
      </c>
      <c r="C1000" s="2" t="s">
        <v>6128</v>
      </c>
      <c r="D1000" t="s">
        <v>6147</v>
      </c>
      <c r="E1000" s="2">
        <v>1</v>
      </c>
      <c r="F1000" s="2" t="str">
        <f>_xlfn.XLOOKUP(C1000,customers!$A$1:$A$1001,customers!$B$1:$B$1001,,0)</f>
        <v>Nicolina Jenny</v>
      </c>
      <c r="G1000" s="2" t="str" cm="1">
        <f t="array" ref="G1000">IF(_xlfn.XLOOKUP(C1000,customers!A999:$A$1001,customers!C999:$C$1001,,0)=0,"",_xlfn.XLOOKUP(C1000,customers!A999:$A$1001,customers!C999:$C$1001,,0))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2">
      <c r="A1001" s="2" t="s">
        <v>6133</v>
      </c>
      <c r="B1001" s="3">
        <v>44119</v>
      </c>
      <c r="C1001" s="2" t="s">
        <v>6134</v>
      </c>
      <c r="D1001" t="s">
        <v>6156</v>
      </c>
      <c r="E1001" s="2">
        <v>3</v>
      </c>
      <c r="F1001" s="2" t="str">
        <f>_xlfn.XLOOKUP(C1001,customers!$A$1:$A$1001,customers!$B$1:$B$1001,,0)</f>
        <v>Vidovic Antonelli</v>
      </c>
      <c r="G1001" s="2" t="str" cm="1">
        <f t="array" ref="G1001">IF(_xlfn.XLOOKUP(C1001,customers!A1000:$A$1001,customers!C1000:$C$1001,,0)=0,"",_xlfn.XLOOKUP(C1001,customers!A1000:$A$1001,customers!C1000:$C$1001,,0))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F1" workbookViewId="0"/>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 Bar Chart</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Álvaro Flores Lorente</cp:lastModifiedBy>
  <cp:revision/>
  <dcterms:created xsi:type="dcterms:W3CDTF">2022-11-26T09:51:45Z</dcterms:created>
  <dcterms:modified xsi:type="dcterms:W3CDTF">2025-11-13T17:29:48Z</dcterms:modified>
  <cp:category/>
  <cp:contentStatus/>
</cp:coreProperties>
</file>